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
    </mc:Choice>
  </mc:AlternateContent>
  <xr:revisionPtr revIDLastSave="0" documentId="13_ncr:1_{A6A4714F-E42B-4682-BE23-CE8208E279A2}" xr6:coauthVersionLast="47" xr6:coauthVersionMax="47" xr10:uidLastSave="{00000000-0000-0000-0000-000000000000}"/>
  <workbookProtection workbookAlgorithmName="SHA-512" workbookHashValue="PxNSxi+C2NpxMydPYzZh3133l5VnkqYMbu0vf/gil5ALV0Bftetwd/Za8uHTNnyo9wddI9dJSlXu2RCzJEXRJw==" workbookSaltValue="p5XxP+5kBnWZ/EFhT3wTfw==" workbookSpinCount="100000" lockStructure="1"/>
  <bookViews>
    <workbookView xWindow="-120" yWindow="-120" windowWidth="29040" windowHeight="15840" tabRatio="833" firstSheet="1" activeTab="2" xr2:uid="{D97A21B1-2DFE-4FCC-8583-BE19C09D570D}"/>
  </bookViews>
  <sheets>
    <sheet name="Project_Info" sheetId="26" r:id="rId1"/>
    <sheet name="Instr." sheetId="27" r:id="rId2"/>
    <sheet name="Light_Selection" sheetId="38" r:id="rId3"/>
    <sheet name="OH" sheetId="23" r:id="rId4"/>
    <sheet name="Light_Savings" sheetId="29" r:id="rId5"/>
    <sheet name="Pivot" sheetId="28" r:id="rId6"/>
    <sheet name="Pivot_2" sheetId="39" r:id="rId7"/>
    <sheet name="Pivot_Cntrl" sheetId="37" r:id="rId8"/>
    <sheet name="Pivot_Baseline" sheetId="35" r:id="rId9"/>
    <sheet name="Old_Model_Registry" sheetId="2" r:id="rId10"/>
    <sheet name="Vstack" sheetId="34" r:id="rId11"/>
    <sheet name="Project_Light List" sheetId="33" r:id="rId12"/>
    <sheet name="Mnu" sheetId="4" r:id="rId13"/>
    <sheet name="DataCheck" sheetId="30" r:id="rId14"/>
  </sheets>
  <definedNames>
    <definedName name="\_acdf" hidden="1">{#N/A,#N/A,FALSE,"COBO";#N/A,#N/A,FALSE,"Atlantic";#N/A,#N/A,FALSE,"NCalif";#N/A,#N/A,FALSE,"SCalif";#N/A,#N/A,FALSE,"Eastern";#N/A,#N/A,FALSE,"Florida";#N/A,#N/A,FALSE,"GreatWest";#N/A,#N/A,FALSE,"Heartland";#N/A,#N/A,FALSE,"Michigan";#N/A,#N/A,FALSE,"Northwest";#N/A,#N/A,FALSE,"Southeast";#N/A,#N/A,FALSE,"Texoma"}</definedName>
    <definedName name="__123Graph_ACURRENT" hidden="1">#REF!</definedName>
    <definedName name="__IntlFixup" hidden="1">TRUE</definedName>
    <definedName name="_Fill" hidden="1">#REF!</definedName>
    <definedName name="_Fill1" hidden="1">#REF!</definedName>
    <definedName name="_xlnm._FilterDatabase" localSheetId="4" hidden="1">Light_Savings!$A$11:$AF$5011</definedName>
    <definedName name="_xlnm._FilterDatabase" localSheetId="2" hidden="1">Light_Selection!$A$1:$U$501</definedName>
    <definedName name="_xlnm._FilterDatabase" localSheetId="3" hidden="1">OH!$A$1:$Q$1001</definedName>
    <definedName name="_xlnm._FilterDatabase" localSheetId="9" hidden="1">Old_Model_Registry!$A$1:$L$500</definedName>
    <definedName name="_xlnm._FilterDatabase" localSheetId="5" hidden="1">Pivot!$B$4:$M$155</definedName>
    <definedName name="_xlnm._FilterDatabase" localSheetId="6" hidden="1">Pivot_2!$A$4:$I$4</definedName>
    <definedName name="_xlnm._FilterDatabase" localSheetId="8" hidden="1">Pivot_Baseline!$C$4:$G$4</definedName>
    <definedName name="_xlnm._FilterDatabase" localSheetId="7" hidden="1">Pivot_Cntrl!$B$8:$F$8</definedName>
    <definedName name="_xlnm._FilterDatabase" localSheetId="11" hidden="1">'Project_Light List'!$A$1:$BG$207</definedName>
    <definedName name="_xlnm._FilterDatabase" localSheetId="10" hidden="1">Vstack!$A$1:$L$1000</definedName>
    <definedName name="_oa1" hidden="1">#REF!</definedName>
    <definedName name="_Order1" hidden="1">255</definedName>
    <definedName name="_Order2" hidden="1">255</definedName>
    <definedName name="_Sor2" hidden="1">#REF!</definedName>
    <definedName name="_Sort" hidden="1">#REF!</definedName>
    <definedName name="aaa" hidden="1">#REF!</definedName>
    <definedName name="AAO" hidden="1">#REF!-1 &amp; "." &amp; MAX(1,COUNTA(INDEX(#REF!,MATCH(#REF!-1,#REF!,FALSE)):#REF!))</definedName>
    <definedName name="Abc" hidden="1">#REF!-1 &amp; "." &amp; MAX(1,COUNTA(INDEX(#REF!,MATCH(#REF!-1,#REF!,FALSE)):#REF!))</definedName>
    <definedName name="AccessDatabase" localSheetId="11" hidden="1">""</definedName>
    <definedName name="AccessDatabase" hidden="1">""</definedName>
    <definedName name="AHU" hidden="1">#REF!</definedName>
    <definedName name="AHUC01" hidden="1">#REF!</definedName>
    <definedName name="AHUFan" hidden="1">#REF!</definedName>
    <definedName name="AHUI" hidden="1">#REF!</definedName>
    <definedName name="AHURAHU" hidden="1">#REF!</definedName>
    <definedName name="anscount" hidden="1">1</definedName>
    <definedName name="aqw" hidden="1">#REF!</definedName>
    <definedName name="B" hidden="1">#REF!-1 &amp; "." &amp; MAX(1,COUNTA(INDEX(#REF!,MATCH(#REF!-1,#REF!,FALSE)):#REF!))</definedName>
    <definedName name="bbjb" hidden="1">#REF!</definedName>
    <definedName name="BEAT" hidden="1">{"Show Qtr 2",#N/A,FALSE,"Compiled Expenses"}</definedName>
    <definedName name="bgf" hidden="1">{#N/A,#N/A,FALSE,"COBO";#N/A,#N/A,FALSE,"Atlantic";#N/A,#N/A,FALSE,"NCalif";#N/A,#N/A,FALSE,"SCalif";#N/A,#N/A,FALSE,"Eastern";#N/A,#N/A,FALSE,"Florida";#N/A,#N/A,FALSE,"GreatWest";#N/A,#N/A,FALSE,"Heartland";#N/A,#N/A,FALSE,"Michigan";#N/A,#N/A,FALSE,"Northwest";#N/A,#N/A,FALSE,"Southeast";#N/A,#N/A,FALSE,"Texoma"}</definedName>
    <definedName name="bhbl" hidden="1">#REF!</definedName>
    <definedName name="bnb" hidden="1">#REF!</definedName>
    <definedName name="Booster" hidden="1">#REF!</definedName>
    <definedName name="Candle">Mnu!$K$2:$K$61</definedName>
    <definedName name="CFL">Mnu!$J$2:$J$61</definedName>
    <definedName name="chf" hidden="1">{#N/A,#N/A,FALSE,"COBO";#N/A,#N/A,FALSE,"Atlantic";#N/A,#N/A,FALSE,"NCalif";#N/A,#N/A,FALSE,"SCalif";#N/A,#N/A,FALSE,"Eastern";#N/A,#N/A,FALSE,"Florida";#N/A,#N/A,FALSE,"GreatWest";#N/A,#N/A,FALSE,"Heartland";#N/A,#N/A,FALSE,"Michigan";#N/A,#N/A,FALSE,"Northwest";#N/A,#N/A,FALSE,"Southeast";#N/A,#N/A,FALSE,"Texoma"}</definedName>
    <definedName name="Comp" hidden="1">{#N/A,#N/A,FALSE,"COBO";#N/A,#N/A,FALSE,"Atlantic";#N/A,#N/A,FALSE,"NCalif";#N/A,#N/A,FALSE,"SCalif";#N/A,#N/A,FALSE,"Eastern";#N/A,#N/A,FALSE,"Florida";#N/A,#N/A,FALSE,"GreatWest";#N/A,#N/A,FALSE,"Heartland";#N/A,#N/A,FALSE,"Michigan";#N/A,#N/A,FALSE,"Northwest";#N/A,#N/A,FALSE,"Southeast";#N/A,#N/A,FALSE,"Texoma"}</definedName>
    <definedName name="Consumption_2" hidden="1">#REF!</definedName>
    <definedName name="D" hidden="1">#REF!-1 &amp; "." &amp; MAX(1,COUNTA(INDEX(#REF!,MATCH(#REF!-1,#REF!,FALSE)):#REF!))</definedName>
    <definedName name="das" hidden="1">{"Adjustable_Costs",#N/A,FALSE,"FIM SHEET";"Savings",#N/A,FALSE,"FIM SHEET";"Base_year",#N/A,FALSE,"FIM SHEET";"Customer",#N/A,FALSE,"FIM SHEET";"FixedCosts",#N/A,FALSE,"FIM SHEET";"MU",#N/A,FALSE,"FIM SHEET";"PassThru_Pre_entered",#N/A,FALSE,"FIM SHEET";#N/A,#N/A,FALSE,"Cash Flow";#N/A,#N/A,FALSE,"EST-SUM"}</definedName>
    <definedName name="DATA" hidden="1">#REF!</definedName>
    <definedName name="df" hidden="1">#REF!-1 &amp; "." &amp; MAX(1,COUNTA(INDEX(#REF!,MATCH(#REF!-1,#REF!,FALSE)):#REF!))</definedName>
    <definedName name="dfghjk" hidden="1">#REF!</definedName>
    <definedName name="dsd" hidden="1">#REF!-1 &amp; "." &amp; MAX(1,COUNTA(INDEX(#REF!,MATCH(#REF!-1,#REF!,FALSE)):#REF!))</definedName>
    <definedName name="E" hidden="1">#REF!-1 &amp; "." &amp; MAX(1,COUNTA(INDEX(#REF!,MATCH(#REF!-1,#REF!,FALSE)):#REF!))</definedName>
    <definedName name="ECM3AQCC2" hidden="1">#REF!-1 &amp; "." &amp; MAX(1,COUNTA(INDEX(#REF!,MATCH(#REF!-1,#REF!,FALSE)):#REF!))</definedName>
    <definedName name="ECM3ARBT" hidden="1">#REF!-1 &amp; "." &amp; MAX(1,COUNTA(INDEX(#REF!,MATCH(#REF!-1,#REF!,FALSE)):#REF!))</definedName>
    <definedName name="ECM3ARBT1" hidden="1">#REF!-1 &amp; "." &amp; MAX(1,COUNTA(INDEX(#REF!,MATCH(#REF!-1,#REF!,FALSE)):#REF!))</definedName>
    <definedName name="esr" hidden="1">{"Adjustable_Costs",#N/A,FALSE,"FIM SHEET";"Savings",#N/A,FALSE,"FIM SHEET";"Base_year",#N/A,FALSE,"FIM SHEET";"Customer",#N/A,FALSE,"FIM SHEET";"FixedCosts",#N/A,FALSE,"FIM SHEET";"MU",#N/A,FALSE,"FIM SHEET";"PassThru_Pre_entered",#N/A,FALSE,"FIM SHEET";#N/A,#N/A,FALSE,"Cash Flow";#N/A,#N/A,FALSE,"EST-SUM"}</definedName>
    <definedName name="ext" hidden="1">#REF!</definedName>
    <definedName name="FACalcs" hidden="1">#REF!</definedName>
    <definedName name="Fix_Fur" hidden="1">{#N/A,#N/A,FALSE,"COBO";#N/A,#N/A,FALSE,"Atlantic";#N/A,#N/A,FALSE,"NCalif";#N/A,#N/A,FALSE,"SCalif";#N/A,#N/A,FALSE,"Eastern";#N/A,#N/A,FALSE,"Florida";#N/A,#N/A,FALSE,"GreatWest";#N/A,#N/A,FALSE,"Heartland";#N/A,#N/A,FALSE,"Michigan";#N/A,#N/A,FALSE,"Northwest";#N/A,#N/A,FALSE,"Southeast";#N/A,#N/A,FALSE,"Texoma"}</definedName>
    <definedName name="FTL">Mnu!$I$2:$I$61</definedName>
    <definedName name="g" hidden="1">#REF!-1 &amp; "." &amp; MAX(1,COUNTA(INDEX(#REF!,MATCH(#REF!-1,#REF!,FALSE)):#REF!))</definedName>
    <definedName name="H" hidden="1">#REF!-1 &amp; "." &amp; MAX(1,COUNTA(INDEX(#REF!,MATCH(#REF!-1,#REF!,FALSE)):#REF!))</definedName>
    <definedName name="HAD" hidden="1">#REF!-1 &amp; "." &amp; MAX(1,COUNTA(INDEX(#REF!,MATCH(#REF!-1,#REF!,FALSE)):#REF!))</definedName>
    <definedName name="HADEST" hidden="1">#REF!-1 &amp; "." &amp; MAX(1,COUNTA(INDEX(#REF!,MATCH(#REF!-1,#REF!,FALSE)):#REF!))</definedName>
    <definedName name="Halogen">Mnu!$O$2:$O$61</definedName>
    <definedName name="Header1" hidden="1">IF(COUNTA(#REF!)=0,0,INDEX(#REF!,MATCH(ROW(#REF!),#REF!,TRUE)))+1</definedName>
    <definedName name="Header2" hidden="1">#REF!-1 &amp; "." &amp; MAX(1,COUNTA(INDEX(#REF!,MATCH(#REF!-1,#REF!,FALSE)):#REF!))</definedName>
    <definedName name="hjghrty" hidden="1">#REF!</definedName>
    <definedName name="HPS">Mnu!$P$2:$P$61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ncandescent">Mnu!$N$2:$N$61</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40850.5169791667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knj" hidden="1">#REF!</definedName>
    <definedName name="LED_Bulb">Mnu!$S$2:$S$61</definedName>
    <definedName name="LED_Candle_Light">Mnu!$Z$2:$Z$61</definedName>
    <definedName name="LED_Downlight">Mnu!$U$2:$U$61</definedName>
    <definedName name="LED_Flood_Light">Mnu!$V$2:$V$61</definedName>
    <definedName name="LED_High_Bay">Mnu!$W$2:$W$61</definedName>
    <definedName name="LED_Panel_light">Mnu!$T$2:$T$61</definedName>
    <definedName name="LED_Spot_Light">Mnu!$R$2:$R$61</definedName>
    <definedName name="LED_Stick">Mnu!$Y$2:$Y$61</definedName>
    <definedName name="LED_Street_Light">Mnu!$X$2:$X$61</definedName>
    <definedName name="LED_Tube">Mnu!$Q$2:$Q$61</definedName>
    <definedName name="lkj" hidden="1">#REF!</definedName>
    <definedName name="Lo" hidden="1">#REF!</definedName>
    <definedName name="MASEST" hidden="1">#REF!-1 &amp; "." &amp; MAX(1,COUNTA(INDEX(#REF!,MATCH(#REF!-1,#REF!,FALSE)):#REF!))</definedName>
    <definedName name="mer" hidden="1">{"Show Qtr 2",#N/A,FALSE,"Compiled Expenses"}</definedName>
    <definedName name="mgh" hidden="1">{#N/A,#N/A,FALSE,"COBO";#N/A,#N/A,FALSE,"Atlantic";#N/A,#N/A,FALSE,"NCalif";#N/A,#N/A,FALSE,"SCalif";#N/A,#N/A,FALSE,"Eastern";#N/A,#N/A,FALSE,"Florida";#N/A,#N/A,FALSE,"GreatWest";#N/A,#N/A,FALSE,"Heartland";#N/A,#N/A,FALSE,"Michigan";#N/A,#N/A,FALSE,"Northwest";#N/A,#N/A,FALSE,"Southeast";#N/A,#N/A,FALSE,"Texoma"}</definedName>
    <definedName name="MH">Mnu!$L$2:$L$61</definedName>
    <definedName name="mhsd" hidden="1">{"Show Qtr 2",#N/A,FALSE,"Compiled Expenses"}</definedName>
    <definedName name="mjhn" hidden="1">#REF!</definedName>
    <definedName name="mkm" hidden="1">IF(COUNTA(#REF!)=0,0,INDEX(#REF!,MATCH(ROW(#REF!),#REF!,TRUE)))+1</definedName>
    <definedName name="mkn" hidden="1">IF(COUNTA(#REF!)=0,0,INDEX(#REF!,MATCH(ROW(#REF!),#REF!,TRUE)))+1</definedName>
    <definedName name="MV">Mnu!$M$2:$M$61</definedName>
    <definedName name="Name" localSheetId="13" hidden="1">{#N/A,#N/A,TRUE,"Summary";#N/A,#N/A,TRUE,"1 Westlakes";#N/A,#N/A,TRUE,"3 Westlakes";#N/A,#N/A,TRUE,"5 Westlakes";#N/A,#N/A,TRUE,"Legend";#N/A,#N/A,TRUE,"Utility"}</definedName>
    <definedName name="Name" localSheetId="4" hidden="1">{#N/A,#N/A,TRUE,"Summary";#N/A,#N/A,TRUE,"1 Westlakes";#N/A,#N/A,TRUE,"3 Westlakes";#N/A,#N/A,TRUE,"5 Westlakes";#N/A,#N/A,TRUE,"Legend";#N/A,#N/A,TRUE,"Utility"}</definedName>
    <definedName name="Name" hidden="1">{#N/A,#N/A,TRUE,"Summary";#N/A,#N/A,TRUE,"1 Westlakes";#N/A,#N/A,TRUE,"3 Westlakes";#N/A,#N/A,TRUE,"5 Westlakes";#N/A,#N/A,TRUE,"Legend";#N/A,#N/A,TRUE,"Utility"}</definedName>
    <definedName name="njn" hidden="1">#REF!</definedName>
    <definedName name="njngh" hidden="1">#REF!</definedName>
    <definedName name="oa" hidden="1">#REF!</definedName>
    <definedName name="OAAHU" hidden="1">#REF!</definedName>
    <definedName name="oiu" hidden="1">#REF!</definedName>
    <definedName name="PKCXR10006122" hidden="1">#REF!</definedName>
    <definedName name="PKCXR10006143" hidden="1">#REF!</definedName>
    <definedName name="PKCXR10006390" hidden="1">#REF!</definedName>
    <definedName name="PKCXR10006616" hidden="1">#REF!</definedName>
    <definedName name="PKCXR10006690" hidden="1">#REF!</definedName>
    <definedName name="PKCXR10006733" hidden="1">#REF!</definedName>
    <definedName name="PKCXR10006901" hidden="1">#REF!</definedName>
    <definedName name="PKCXR10303180" hidden="1">#REF!</definedName>
    <definedName name="PKCXR10303389" hidden="1">#REF!</definedName>
    <definedName name="PKCXR10303404" hidden="1">#REF!</definedName>
    <definedName name="PKCXR10303506" hidden="1">#REF!</definedName>
    <definedName name="PKCXR10303581" hidden="1">#REF!</definedName>
    <definedName name="PKCXR1030378" hidden="1">#REF!</definedName>
    <definedName name="PKCXR10303798" hidden="1">#REF!</definedName>
    <definedName name="PKCXR104440" hidden="1">#REF!</definedName>
    <definedName name="PKCXR10546603" hidden="1">#REF!</definedName>
    <definedName name="PKCXR10638401" hidden="1">#REF!</definedName>
    <definedName name="PKCXR10638497" hidden="1">#REF!</definedName>
    <definedName name="PKCXR10638564" hidden="1">#REF!</definedName>
    <definedName name="PKCXR106386" hidden="1">#REF!</definedName>
    <definedName name="PKCXR10638749" hidden="1">#REF!</definedName>
    <definedName name="PKCXR10638767" hidden="1">#REF!</definedName>
    <definedName name="PKCXR10638789" hidden="1">#REF!</definedName>
    <definedName name="PKCXR10638839" hidden="1">#REF!</definedName>
    <definedName name="PKCXR1063885" hidden="1">#REF!</definedName>
    <definedName name="PKCXR10739189" hidden="1">#REF!</definedName>
    <definedName name="PKCXR11463619" hidden="1">#REF!</definedName>
    <definedName name="PKCXR11548592" hidden="1">#REF!</definedName>
    <definedName name="PKCXR11955611" hidden="1">#REF!</definedName>
    <definedName name="PKCXR12156454" hidden="1">#REF!</definedName>
    <definedName name="PKCXR12826962" hidden="1">#REF!</definedName>
    <definedName name="PKCXR14031" hidden="1">#REF!</definedName>
    <definedName name="PKCXR1403103" hidden="1">#REF!</definedName>
    <definedName name="PKCXR1403104" hidden="1">#REF!</definedName>
    <definedName name="PKCXR1403105" hidden="1">#REF!</definedName>
    <definedName name="PKCXR1403117" hidden="1">#REF!</definedName>
    <definedName name="PKCXR1403130" hidden="1">#REF!</definedName>
    <definedName name="PKCXR1403134" hidden="1">#REF!</definedName>
    <definedName name="PKCXR1403135" hidden="1">#REF!</definedName>
    <definedName name="PKCXR1403142" hidden="1">#REF!</definedName>
    <definedName name="PKCXR1403144" hidden="1">#REF!</definedName>
    <definedName name="PKCXR1403150" hidden="1">#REF!</definedName>
    <definedName name="PKCXR1403165" hidden="1">#REF!</definedName>
    <definedName name="PKCXR1403189" hidden="1">#REF!</definedName>
    <definedName name="PKCXR1403195" hidden="1">#REF!</definedName>
    <definedName name="PKCXR14032" hidden="1">#REF!</definedName>
    <definedName name="PKCXR1403209" hidden="1">#REF!</definedName>
    <definedName name="PKCXR1403211" hidden="1">#REF!</definedName>
    <definedName name="PKCXR1403254" hidden="1">#REF!</definedName>
    <definedName name="PKCXR1403268" hidden="1">#REF!</definedName>
    <definedName name="PKCXR140327" hidden="1">#REF!</definedName>
    <definedName name="PKCXR1403275" hidden="1">#REF!</definedName>
    <definedName name="PKCXR1403324" hidden="1">#REF!</definedName>
    <definedName name="PKCXR1403337" hidden="1">#REF!</definedName>
    <definedName name="PKCXR1403368" hidden="1">#REF!</definedName>
    <definedName name="PKCXR1403370" hidden="1">#REF!</definedName>
    <definedName name="PKCXR1403373" hidden="1">#REF!</definedName>
    <definedName name="PKCXR1403376" hidden="1">#REF!</definedName>
    <definedName name="PKCXR1403380" hidden="1">#REF!</definedName>
    <definedName name="PKCXR140342" hidden="1">#REF!</definedName>
    <definedName name="PKCXR1403425" hidden="1">#REF!</definedName>
    <definedName name="PKCXR1403433" hidden="1">#REF!</definedName>
    <definedName name="PKCXR1403436" hidden="1">#REF!</definedName>
    <definedName name="PKCXR1403452" hidden="1">#REF!</definedName>
    <definedName name="PKCXR1403464" hidden="1">#REF!</definedName>
    <definedName name="PKCXR1403471" hidden="1">#REF!</definedName>
    <definedName name="PKCXR1403478" hidden="1">#REF!</definedName>
    <definedName name="PKCXR140348" hidden="1">#REF!</definedName>
    <definedName name="PKCXR1403483" hidden="1">#REF!</definedName>
    <definedName name="PKCXR1403488" hidden="1">#REF!</definedName>
    <definedName name="PKCXR1403491" hidden="1">#REF!</definedName>
    <definedName name="PKCXR1403522" hidden="1">#REF!</definedName>
    <definedName name="PKCXR1403533" hidden="1">#REF!</definedName>
    <definedName name="PKCXR1403566" hidden="1">#REF!</definedName>
    <definedName name="PKCXR1403591" hidden="1">#REF!</definedName>
    <definedName name="PKCXR1403598" hidden="1">#REF!</definedName>
    <definedName name="PKCXR1403601" hidden="1">#REF!</definedName>
    <definedName name="PKCXR140361" hidden="1">#REF!</definedName>
    <definedName name="PKCXR1403620" hidden="1">#REF!</definedName>
    <definedName name="PKCXR1403646" hidden="1">#REF!</definedName>
    <definedName name="PKCXR140366" hidden="1">#REF!</definedName>
    <definedName name="PKCXR140367" hidden="1">#REF!</definedName>
    <definedName name="PKCXR1403706" hidden="1">#REF!</definedName>
    <definedName name="PKCXR1403719" hidden="1">#REF!</definedName>
    <definedName name="PKCXR1403771" hidden="1">#REF!</definedName>
    <definedName name="PKCXR1403779" hidden="1">#REF!</definedName>
    <definedName name="PKCXR1403793" hidden="1">#REF!</definedName>
    <definedName name="PKCXR1403796" hidden="1">#REF!</definedName>
    <definedName name="PKCXR1403798" hidden="1">#REF!</definedName>
    <definedName name="PKCXR1403803" hidden="1">#REF!</definedName>
    <definedName name="PKCXR1403815" hidden="1">#REF!</definedName>
    <definedName name="PKCXR140384" hidden="1">#REF!</definedName>
    <definedName name="PKCXR1403859" hidden="1">#REF!</definedName>
    <definedName name="PKCXR1403879" hidden="1">#REF!</definedName>
    <definedName name="PKCXR1403883" hidden="1">#REF!</definedName>
    <definedName name="PKCXR1403894" hidden="1">#REF!</definedName>
    <definedName name="PKCXR1403923" hidden="1">#REF!</definedName>
    <definedName name="PKCXR1403926" hidden="1">#REF!</definedName>
    <definedName name="PKCXR1403935" hidden="1">#REF!</definedName>
    <definedName name="PKCXR1403943" hidden="1">#REF!</definedName>
    <definedName name="PKCXR1403953" hidden="1">#REF!</definedName>
    <definedName name="PKCXR1403974" hidden="1">#REF!</definedName>
    <definedName name="PKCXR1403976" hidden="1">#REF!</definedName>
    <definedName name="PKCXR1403977" hidden="1">#REF!</definedName>
    <definedName name="PKCXR1403980" hidden="1">#REF!</definedName>
    <definedName name="PKCXR14999943" hidden="1">#REF!</definedName>
    <definedName name="PKCXR15032750" hidden="1">#REF!</definedName>
    <definedName name="PKCXR15567105" hidden="1">#REF!</definedName>
    <definedName name="PKCXR15631620" hidden="1">#REF!</definedName>
    <definedName name="PKCXR1569344" hidden="1">#REF!</definedName>
    <definedName name="PKCXR1571491" hidden="1">#REF!</definedName>
    <definedName name="PKCXR1571509" hidden="1">#REF!</definedName>
    <definedName name="PKCXR1571545" hidden="1">#REF!</definedName>
    <definedName name="PKCXR1571630" hidden="1">#REF!</definedName>
    <definedName name="PKCXR1571661" hidden="1">#REF!</definedName>
    <definedName name="PKCXR1571677" hidden="1">#REF!</definedName>
    <definedName name="PKCXR157169" hidden="1">#REF!</definedName>
    <definedName name="PKCXR157190" hidden="1">#REF!</definedName>
    <definedName name="PKCXR1571902" hidden="1">#REF!</definedName>
    <definedName name="PKCXR1571996" hidden="1">#REF!</definedName>
    <definedName name="PKCXR16045309" hidden="1">#REF!</definedName>
    <definedName name="PKCXR16045374" hidden="1">#REF!</definedName>
    <definedName name="PKCXR16045379" hidden="1">#REF!</definedName>
    <definedName name="PKCXR1604544" hidden="1">#REF!</definedName>
    <definedName name="PKCXR16045567" hidden="1">#REF!</definedName>
    <definedName name="PKCXR16045698" hidden="1">#REF!</definedName>
    <definedName name="PKCXR16175172" hidden="1">#REF!</definedName>
    <definedName name="PKCXR16283228" hidden="1">#REF!</definedName>
    <definedName name="PKCXR16283332" hidden="1">#REF!</definedName>
    <definedName name="PKCXR16283499" hidden="1">#REF!</definedName>
    <definedName name="PKCXR1628376" hidden="1">#REF!</definedName>
    <definedName name="PKCXR1628395" hidden="1">#REF!</definedName>
    <definedName name="PKCXR16283986" hidden="1">#REF!</definedName>
    <definedName name="PKCXR16988443" hidden="1">#REF!</definedName>
    <definedName name="PKCXR17378409" hidden="1">#REF!</definedName>
    <definedName name="PKCXR17910953" hidden="1">#REF!</definedName>
    <definedName name="PKCXR1854196" hidden="1">#REF!</definedName>
    <definedName name="PKCXR18602220" hidden="1">#REF!</definedName>
    <definedName name="PKCXR18602370" hidden="1">#REF!</definedName>
    <definedName name="PKCXR1860262" hidden="1">#REF!</definedName>
    <definedName name="PKCXR18602662" hidden="1">#REF!</definedName>
    <definedName name="PKCXR1877153" hidden="1">#REF!</definedName>
    <definedName name="PKCXR19064596" hidden="1">#REF!</definedName>
    <definedName name="PKCXR19193390" hidden="1">#REF!</definedName>
    <definedName name="PKCXR20263543" hidden="1">#REF!</definedName>
    <definedName name="PKCXR20603529" hidden="1">#REF!</definedName>
    <definedName name="PKCXR20757372" hidden="1">#REF!</definedName>
    <definedName name="PKCXR2075757" hidden="1">#REF!</definedName>
    <definedName name="PKCXR20757707" hidden="1">#REF!</definedName>
    <definedName name="PKCXR2075792" hidden="1">#REF!</definedName>
    <definedName name="PKCXR20764701" hidden="1">#REF!</definedName>
    <definedName name="PKCXR21038755" hidden="1">#REF!</definedName>
    <definedName name="PKCXR21674605" hidden="1">#REF!</definedName>
    <definedName name="PKCXR22327390" hidden="1">#REF!</definedName>
    <definedName name="PKCXR226496" hidden="1">#REF!</definedName>
    <definedName name="PKCXR22688118" hidden="1">#REF!</definedName>
    <definedName name="PKCXR22688232" hidden="1">#REF!</definedName>
    <definedName name="PKCXR22688261" hidden="1">#REF!</definedName>
    <definedName name="PKCXR22688274" hidden="1">#REF!</definedName>
    <definedName name="PKCXR22688295" hidden="1">#REF!</definedName>
    <definedName name="PKCXR22688345" hidden="1">#REF!</definedName>
    <definedName name="PKCXR22688447" hidden="1">#REF!</definedName>
    <definedName name="PKCXR22688486" hidden="1">#REF!</definedName>
    <definedName name="PKCXR226885" hidden="1">#REF!</definedName>
    <definedName name="PKCXR22688500" hidden="1">#REF!</definedName>
    <definedName name="PKCXR22688782" hidden="1">#REF!</definedName>
    <definedName name="PKCXR22688800" hidden="1">#REF!</definedName>
    <definedName name="PKCXR22688835" hidden="1">#REF!</definedName>
    <definedName name="PKCXR22688931" hidden="1">#REF!</definedName>
    <definedName name="PKCXR22688947" hidden="1">#REF!</definedName>
    <definedName name="PKCXR22779320" hidden="1">#REF!</definedName>
    <definedName name="PKCXR23529821" hidden="1">#REF!</definedName>
    <definedName name="PKCXR24386363" hidden="1">#REF!</definedName>
    <definedName name="PKCXR24394143" hidden="1">#REF!</definedName>
    <definedName name="PKCXR24394187" hidden="1">#REF!</definedName>
    <definedName name="PKCXR24394268" hidden="1">#REF!</definedName>
    <definedName name="PKCXR24394314" hidden="1">#REF!</definedName>
    <definedName name="PKCXR2439432" hidden="1">#REF!</definedName>
    <definedName name="PKCXR24394350" hidden="1">#REF!</definedName>
    <definedName name="PKCXR24394565" hidden="1">#REF!</definedName>
    <definedName name="PKCXR24394612" hidden="1">#REF!</definedName>
    <definedName name="PKCXR24394713" hidden="1">#REF!</definedName>
    <definedName name="PKCXR24394817" hidden="1">#REF!</definedName>
    <definedName name="PKCXR24394863" hidden="1">#REF!</definedName>
    <definedName name="PKCXR25461296" hidden="1">#REF!</definedName>
    <definedName name="PKCXR25664716" hidden="1">#REF!</definedName>
    <definedName name="PKCXR25728751" hidden="1">#REF!</definedName>
    <definedName name="PKCXR25999" hidden="1">#REF!</definedName>
    <definedName name="PKCXR26138189" hidden="1">#REF!</definedName>
    <definedName name="PKCXR26138319" hidden="1">#REF!</definedName>
    <definedName name="PKCXR26138435" hidden="1">#REF!</definedName>
    <definedName name="PKCXR2638013" hidden="1">#REF!</definedName>
    <definedName name="PKCXR26380189" hidden="1">#REF!</definedName>
    <definedName name="PKCXR26380334" hidden="1">#REF!</definedName>
    <definedName name="PKCXR26380437" hidden="1">#REF!</definedName>
    <definedName name="PKCXR26380470" hidden="1">#REF!</definedName>
    <definedName name="PKCXR26380482" hidden="1">#REF!</definedName>
    <definedName name="PKCXR263805" hidden="1">#REF!</definedName>
    <definedName name="PKCXR26380599" hidden="1">#REF!</definedName>
    <definedName name="PKCXR2638066" hidden="1">#REF!</definedName>
    <definedName name="PKCXR26380660" hidden="1">#REF!</definedName>
    <definedName name="PKCXR26380681" hidden="1">#REF!</definedName>
    <definedName name="PKCXR26380763" hidden="1">#REF!</definedName>
    <definedName name="PKCXR26380766" hidden="1">#REF!</definedName>
    <definedName name="PKCXR26380803" hidden="1">#REF!</definedName>
    <definedName name="PKCXR26380818" hidden="1">#REF!</definedName>
    <definedName name="PKCXR263809" hidden="1">#REF!</definedName>
    <definedName name="PKCXR26380931" hidden="1">#REF!</definedName>
    <definedName name="PKCXR26380971" hidden="1">#REF!</definedName>
    <definedName name="PKCXR26974245" hidden="1">#REF!</definedName>
    <definedName name="PKCXR27295513" hidden="1">#REF!</definedName>
    <definedName name="PKCXR27296759" hidden="1">#REF!</definedName>
    <definedName name="PKCXR27531432" hidden="1">#REF!</definedName>
    <definedName name="PKCXR27718682" hidden="1">#REF!</definedName>
    <definedName name="PKCXR27829166" hidden="1">#REF!</definedName>
    <definedName name="PKCXR27829204" hidden="1">#REF!</definedName>
    <definedName name="PKCXR27829319" hidden="1">#REF!</definedName>
    <definedName name="PKCXR27829484" hidden="1">#REF!</definedName>
    <definedName name="PKCXR27829580" hidden="1">#REF!</definedName>
    <definedName name="PKCXR27829887" hidden="1">#REF!</definedName>
    <definedName name="PKCXR27935119" hidden="1">#REF!</definedName>
    <definedName name="PKCXR27935152" hidden="1">#REF!</definedName>
    <definedName name="PKCXR2793523" hidden="1">#REF!</definedName>
    <definedName name="PKCXR27935287" hidden="1">#REF!</definedName>
    <definedName name="PKCXR27935352" hidden="1">#REF!</definedName>
    <definedName name="PKCXR27935383" hidden="1">#REF!</definedName>
    <definedName name="PKCXR27935414" hidden="1">#REF!</definedName>
    <definedName name="PKCXR27935438" hidden="1">#REF!</definedName>
    <definedName name="PKCXR27935475" hidden="1">#REF!</definedName>
    <definedName name="PKCXR2793552" hidden="1">#REF!</definedName>
    <definedName name="PKCXR27935593" hidden="1">#REF!</definedName>
    <definedName name="PKCXR27935643" hidden="1">#REF!</definedName>
    <definedName name="PKCXR27935732" hidden="1">#REF!</definedName>
    <definedName name="PKCXR27935836" hidden="1">#REF!</definedName>
    <definedName name="PKCXR27935873" hidden="1">#REF!</definedName>
    <definedName name="PKCXR2844914" hidden="1">#REF!</definedName>
    <definedName name="PKCXR28449704" hidden="1">#REF!</definedName>
    <definedName name="PKCXR28449744" hidden="1">#REF!</definedName>
    <definedName name="PKCXR28449763" hidden="1">#REF!</definedName>
    <definedName name="PKCXR28449770" hidden="1">#REF!</definedName>
    <definedName name="PKCXR28449803" hidden="1">#REF!</definedName>
    <definedName name="PKCXR28449818" hidden="1">#REF!</definedName>
    <definedName name="PKCXR28957104" hidden="1">#REF!</definedName>
    <definedName name="PKCXR28957125" hidden="1">#REF!</definedName>
    <definedName name="PKCXR28957137" hidden="1">#REF!</definedName>
    <definedName name="PKCXR28957139" hidden="1">#REF!</definedName>
    <definedName name="PKCXR28957142" hidden="1">#REF!</definedName>
    <definedName name="PKCXR28957146" hidden="1">#REF!</definedName>
    <definedName name="PKCXR28957166" hidden="1">#REF!</definedName>
    <definedName name="PKCXR28957169" hidden="1">#REF!</definedName>
    <definedName name="PKCXR28957174" hidden="1">#REF!</definedName>
    <definedName name="PKCXR2895718" hidden="1">#REF!</definedName>
    <definedName name="PKCXR28957181" hidden="1">#REF!</definedName>
    <definedName name="PKCXR28957191" hidden="1">#REF!</definedName>
    <definedName name="PKCXR28957204" hidden="1">#REF!</definedName>
    <definedName name="PKCXR28957205" hidden="1">#REF!</definedName>
    <definedName name="PKCXR28957213" hidden="1">#REF!</definedName>
    <definedName name="PKCXR28957300" hidden="1">#REF!</definedName>
    <definedName name="PKCXR28957304" hidden="1">#REF!</definedName>
    <definedName name="PKCXR28957309" hidden="1">#REF!</definedName>
    <definedName name="PKCXR28957313" hidden="1">#REF!</definedName>
    <definedName name="PKCXR28957317" hidden="1">#REF!</definedName>
    <definedName name="PKCXR28957326" hidden="1">#REF!</definedName>
    <definedName name="PKCXR28957341" hidden="1">#REF!</definedName>
    <definedName name="PKCXR28957355" hidden="1">#REF!</definedName>
    <definedName name="PKCXR28957360" hidden="1">#REF!</definedName>
    <definedName name="PKCXR28957370" hidden="1">#REF!</definedName>
    <definedName name="PKCXR28957380" hidden="1">#REF!</definedName>
    <definedName name="PKCXR28957383" hidden="1">#REF!</definedName>
    <definedName name="PKCXR28957395" hidden="1">#REF!</definedName>
    <definedName name="PKCXR28957396" hidden="1">#REF!</definedName>
    <definedName name="PKCXR28957397" hidden="1">#REF!</definedName>
    <definedName name="PKCXR28957413" hidden="1">#REF!</definedName>
    <definedName name="PKCXR28957417" hidden="1">#REF!</definedName>
    <definedName name="PKCXR2895743" hidden="1">#REF!</definedName>
    <definedName name="PKCXR2895744" hidden="1">#REF!</definedName>
    <definedName name="PKCXR28957443" hidden="1">#REF!</definedName>
    <definedName name="PKCXR28957444" hidden="1">#REF!</definedName>
    <definedName name="PKCXR28957451" hidden="1">#REF!</definedName>
    <definedName name="PKCXR28957455" hidden="1">#REF!</definedName>
    <definedName name="PKCXR28957473" hidden="1">#REF!</definedName>
    <definedName name="PKCXR28957477" hidden="1">#REF!</definedName>
    <definedName name="PKCXR28957484" hidden="1">#REF!</definedName>
    <definedName name="PKCXR28957489" hidden="1">#REF!</definedName>
    <definedName name="PKCXR28957495" hidden="1">#REF!</definedName>
    <definedName name="PKCXR28957499" hidden="1">#REF!</definedName>
    <definedName name="PKCXR28957509" hidden="1">#REF!</definedName>
    <definedName name="PKCXR28957522" hidden="1">#REF!</definedName>
    <definedName name="PKCXR28957536" hidden="1">#REF!</definedName>
    <definedName name="PKCXR28957538" hidden="1">#REF!</definedName>
    <definedName name="PKCXR28957573" hidden="1">#REF!</definedName>
    <definedName name="PKCXR28957580" hidden="1">#REF!</definedName>
    <definedName name="PKCXR28957583" hidden="1">#REF!</definedName>
    <definedName name="PKCXR28957587" hidden="1">#REF!</definedName>
    <definedName name="PKCXR28957589" hidden="1">#REF!</definedName>
    <definedName name="PKCXR28957596" hidden="1">#REF!</definedName>
    <definedName name="PKCXR28957601" hidden="1">#REF!</definedName>
    <definedName name="PKCXR28957603" hidden="1">#REF!</definedName>
    <definedName name="PKCXR28957615" hidden="1">#REF!</definedName>
    <definedName name="PKCXR28957616" hidden="1">#REF!</definedName>
    <definedName name="PKCXR28957659" hidden="1">#REF!</definedName>
    <definedName name="PKCXR2895766" hidden="1">#REF!</definedName>
    <definedName name="PKCXR28957663" hidden="1">#REF!</definedName>
    <definedName name="PKCXR28957668" hidden="1">#REF!</definedName>
    <definedName name="PKCXR28957684" hidden="1">#REF!</definedName>
    <definedName name="PKCXR28957704" hidden="1">#REF!</definedName>
    <definedName name="PKCXR28957726" hidden="1">#REF!</definedName>
    <definedName name="PKCXR28957757" hidden="1">#REF!</definedName>
    <definedName name="PKCXR28957764" hidden="1">#REF!</definedName>
    <definedName name="PKCXR28957768" hidden="1">#REF!</definedName>
    <definedName name="PKCXR28957772" hidden="1">#REF!</definedName>
    <definedName name="PKCXR28957778" hidden="1">#REF!</definedName>
    <definedName name="PKCXR2895778" hidden="1">#REF!</definedName>
    <definedName name="PKCXR28957782" hidden="1">#REF!</definedName>
    <definedName name="PKCXR28957800" hidden="1">#REF!</definedName>
    <definedName name="PKCXR28957807" hidden="1">#REF!</definedName>
    <definedName name="PKCXR28957809" hidden="1">#REF!</definedName>
    <definedName name="PKCXR2895781" hidden="1">#REF!</definedName>
    <definedName name="PKCXR28957821" hidden="1">#REF!</definedName>
    <definedName name="PKCXR28957847" hidden="1">#REF!</definedName>
    <definedName name="PKCXR28957854" hidden="1">#REF!</definedName>
    <definedName name="PKCXR28957884" hidden="1">#REF!</definedName>
    <definedName name="PKCXR28957889" hidden="1">#REF!</definedName>
    <definedName name="PKCXR28957895" hidden="1">#REF!</definedName>
    <definedName name="PKCXR28957912" hidden="1">#REF!</definedName>
    <definedName name="PKCXR28957923" hidden="1">#REF!</definedName>
    <definedName name="PKCXR28957934" hidden="1">#REF!</definedName>
    <definedName name="PKCXR28957948" hidden="1">#REF!</definedName>
    <definedName name="PKCXR28957987" hidden="1">#REF!</definedName>
    <definedName name="PKCXR28957991" hidden="1">#REF!</definedName>
    <definedName name="PKCXR28957998" hidden="1">#REF!</definedName>
    <definedName name="PKCXR28968200" hidden="1">#REF!</definedName>
    <definedName name="PKCXR28968963" hidden="1">#REF!</definedName>
    <definedName name="PKCXR28968999" hidden="1">#REF!</definedName>
    <definedName name="PKCXR29288772" hidden="1">#REF!</definedName>
    <definedName name="PKCXR29578149" hidden="1">#REF!</definedName>
    <definedName name="PKCXR29578201" hidden="1">#REF!</definedName>
    <definedName name="PKCXR2957822" hidden="1">#REF!</definedName>
    <definedName name="PKCXR29578311" hidden="1">#REF!</definedName>
    <definedName name="PKCXR29578414" hidden="1">#REF!</definedName>
    <definedName name="PKCXR29578893" hidden="1">#REF!</definedName>
    <definedName name="PKCXR29727646" hidden="1">#REF!</definedName>
    <definedName name="PKCXR29818155" hidden="1">#REF!</definedName>
    <definedName name="PKCXR29818221" hidden="1">#REF!</definedName>
    <definedName name="PKCXR29818347" hidden="1">#REF!</definedName>
    <definedName name="PKCXR29818360" hidden="1">#REF!</definedName>
    <definedName name="PKCXR29818377" hidden="1">#REF!</definedName>
    <definedName name="PKCXR29818465" hidden="1">#REF!</definedName>
    <definedName name="PKCXR29818531" hidden="1">#REF!</definedName>
    <definedName name="PKCXR29818537" hidden="1">#REF!</definedName>
    <definedName name="PKCXR29818549" hidden="1">#REF!</definedName>
    <definedName name="PKCXR29818569" hidden="1">#REF!</definedName>
    <definedName name="PKCXR29818637" hidden="1">#REF!</definedName>
    <definedName name="PKCXR29818683" hidden="1">#REF!</definedName>
    <definedName name="PKCXR29818800" hidden="1">#REF!</definedName>
    <definedName name="PKCXR29818880" hidden="1">#REF!</definedName>
    <definedName name="PKCXR29818902" hidden="1">#REF!</definedName>
    <definedName name="PKCXR2981895" hidden="1">#REF!</definedName>
    <definedName name="PKCXR29818956" hidden="1">#REF!</definedName>
    <definedName name="PKCXR29818963" hidden="1">#REF!</definedName>
    <definedName name="PKCXR2981898" hidden="1">#REF!</definedName>
    <definedName name="PKCXR30098185" hidden="1">#REF!</definedName>
    <definedName name="PKCXR30098609" hidden="1">#REF!</definedName>
    <definedName name="PKCXR3009867" hidden="1">#REF!</definedName>
    <definedName name="PKCXR30098786" hidden="1">#REF!</definedName>
    <definedName name="PKCXR30098832" hidden="1">#REF!</definedName>
    <definedName name="PKCXR30098853" hidden="1">#REF!</definedName>
    <definedName name="PKCXR301961" hidden="1">#REF!</definedName>
    <definedName name="PKCXR3019611" hidden="1">#REF!</definedName>
    <definedName name="PKCXR30196112" hidden="1">#REF!</definedName>
    <definedName name="PKCXR30196121" hidden="1">#REF!</definedName>
    <definedName name="PKCXR30196126" hidden="1">#REF!</definedName>
    <definedName name="PKCXR30196146" hidden="1">#REF!</definedName>
    <definedName name="PKCXR30196165" hidden="1">#REF!</definedName>
    <definedName name="PKCXR30196190" hidden="1">#REF!</definedName>
    <definedName name="PKCXR3019622" hidden="1">#REF!</definedName>
    <definedName name="PKCXR30196224" hidden="1">#REF!</definedName>
    <definedName name="PKCXR30196228" hidden="1">#REF!</definedName>
    <definedName name="PKCXR30196230" hidden="1">#REF!</definedName>
    <definedName name="PKCXR30196231" hidden="1">#REF!</definedName>
    <definedName name="PKCXR30196250" hidden="1">#REF!</definedName>
    <definedName name="PKCXR3019627" hidden="1">#REF!</definedName>
    <definedName name="PKCXR30196283" hidden="1">#REF!</definedName>
    <definedName name="PKCXR30196294" hidden="1">#REF!</definedName>
    <definedName name="PKCXR30196295" hidden="1">#REF!</definedName>
    <definedName name="PKCXR30196306" hidden="1">#REF!</definedName>
    <definedName name="PKCXR30196307" hidden="1">#REF!</definedName>
    <definedName name="PKCXR30196333" hidden="1">#REF!</definedName>
    <definedName name="PKCXR30196374" hidden="1">#REF!</definedName>
    <definedName name="PKCXR30196400" hidden="1">#REF!</definedName>
    <definedName name="PKCXR30196406" hidden="1">#REF!</definedName>
    <definedName name="PKCXR30196426" hidden="1">#REF!</definedName>
    <definedName name="PKCXR30196432" hidden="1">#REF!</definedName>
    <definedName name="PKCXR30196440" hidden="1">#REF!</definedName>
    <definedName name="PKCXR30196465" hidden="1">#REF!</definedName>
    <definedName name="PKCXR30196467" hidden="1">#REF!</definedName>
    <definedName name="PKCXR30196473" hidden="1">#REF!</definedName>
    <definedName name="PKCXR30196474" hidden="1">#REF!</definedName>
    <definedName name="PKCXR30196488" hidden="1">#REF!</definedName>
    <definedName name="PKCXR3019650" hidden="1">#REF!</definedName>
    <definedName name="PKCXR30196513" hidden="1">#REF!</definedName>
    <definedName name="PKCXR30196515" hidden="1">#REF!</definedName>
    <definedName name="PKCXR30196531" hidden="1">#REF!</definedName>
    <definedName name="PKCXR30196545" hidden="1">#REF!</definedName>
    <definedName name="PKCXR30196558" hidden="1">#REF!</definedName>
    <definedName name="PKCXR30196579" hidden="1">#REF!</definedName>
    <definedName name="PKCXR30196581" hidden="1">#REF!</definedName>
    <definedName name="PKCXR30196585" hidden="1">#REF!</definedName>
    <definedName name="PKCXR30196600" hidden="1">#REF!</definedName>
    <definedName name="PKCXR30196612" hidden="1">#REF!</definedName>
    <definedName name="PKCXR30196613" hidden="1">#REF!</definedName>
    <definedName name="PKCXR30196615" hidden="1">#REF!</definedName>
    <definedName name="PKCXR30196634" hidden="1">#REF!</definedName>
    <definedName name="PKCXR30196667" hidden="1">#REF!</definedName>
    <definedName name="PKCXR30196668" hidden="1">#REF!</definedName>
    <definedName name="PKCXR30196673" hidden="1">#REF!</definedName>
    <definedName name="PKCXR3019668" hidden="1">#REF!</definedName>
    <definedName name="PKCXR30196685" hidden="1">#REF!</definedName>
    <definedName name="PKCXR3019669" hidden="1">#REF!</definedName>
    <definedName name="PKCXR30196691" hidden="1">#REF!</definedName>
    <definedName name="PKCXR30196699" hidden="1">#REF!</definedName>
    <definedName name="PKCXR30196715" hidden="1">#REF!</definedName>
    <definedName name="PKCXR30196720" hidden="1">#REF!</definedName>
    <definedName name="PKCXR30196744" hidden="1">#REF!</definedName>
    <definedName name="PKCXR30196767" hidden="1">#REF!</definedName>
    <definedName name="PKCXR30196789" hidden="1">#REF!</definedName>
    <definedName name="PKCXR30196797" hidden="1">#REF!</definedName>
    <definedName name="PKCXR30196803" hidden="1">#REF!</definedName>
    <definedName name="PKCXR30196813" hidden="1">#REF!</definedName>
    <definedName name="PKCXR30196817" hidden="1">#REF!</definedName>
    <definedName name="PKCXR30196820" hidden="1">#REF!</definedName>
    <definedName name="PKCXR30196830" hidden="1">#REF!</definedName>
    <definedName name="PKCXR30196855" hidden="1">#REF!</definedName>
    <definedName name="PKCXR30196861" hidden="1">#REF!</definedName>
    <definedName name="PKCXR30196864" hidden="1">#REF!</definedName>
    <definedName name="PKCXR30196869" hidden="1">#REF!</definedName>
    <definedName name="PKCXR3019689" hidden="1">#REF!</definedName>
    <definedName name="PKCXR30196905" hidden="1">#REF!</definedName>
    <definedName name="PKCXR30196909" hidden="1">#REF!</definedName>
    <definedName name="PKCXR3019692" hidden="1">#REF!</definedName>
    <definedName name="PKCXR30196921" hidden="1">#REF!</definedName>
    <definedName name="PKCXR30196925" hidden="1">#REF!</definedName>
    <definedName name="PKCXR30196931" hidden="1">#REF!</definedName>
    <definedName name="PKCXR30196938" hidden="1">#REF!</definedName>
    <definedName name="PKCXR30196943" hidden="1">#REF!</definedName>
    <definedName name="PKCXR30196961" hidden="1">#REF!</definedName>
    <definedName name="PKCXR30251211" hidden="1">#REF!</definedName>
    <definedName name="PKCXR3096551" hidden="1">#REF!</definedName>
    <definedName name="PKCXR3227377" hidden="1">#REF!</definedName>
    <definedName name="PKCXR32622182" hidden="1">#REF!</definedName>
    <definedName name="PKCXR32622209" hidden="1">#REF!</definedName>
    <definedName name="PKCXR3262230" hidden="1">#REF!</definedName>
    <definedName name="PKCXR32622744" hidden="1">#REF!</definedName>
    <definedName name="PKCXR32975511" hidden="1">#REF!</definedName>
    <definedName name="PKCXR33103671" hidden="1">#REF!</definedName>
    <definedName name="PKCXR33170658" hidden="1">#REF!</definedName>
    <definedName name="PKCXR34062723" hidden="1">#REF!</definedName>
    <definedName name="PKCXR34774763" hidden="1">#REF!</definedName>
    <definedName name="PKCXR34784715" hidden="1">#REF!</definedName>
    <definedName name="PKCXR35348629" hidden="1">#REF!</definedName>
    <definedName name="PKCXR35660183" hidden="1">#REF!</definedName>
    <definedName name="PKCXR35703821" hidden="1">#REF!</definedName>
    <definedName name="PKCXR36347220" hidden="1">#REF!</definedName>
    <definedName name="PKCXR36403159" hidden="1">#REF!</definedName>
    <definedName name="PKCXR36403162" hidden="1">#REF!</definedName>
    <definedName name="PKCXR36403237" hidden="1">#REF!</definedName>
    <definedName name="PKCXR36403290" hidden="1">#REF!</definedName>
    <definedName name="PKCXR36403302" hidden="1">#REF!</definedName>
    <definedName name="PKCXR36403307" hidden="1">#REF!</definedName>
    <definedName name="PKCXR36403314" hidden="1">#REF!</definedName>
    <definedName name="PKCXR36403366" hidden="1">#REF!</definedName>
    <definedName name="PKCXR36403371" hidden="1">#REF!</definedName>
    <definedName name="PKCXR36403390" hidden="1">#REF!</definedName>
    <definedName name="PKCXR36403401" hidden="1">#REF!</definedName>
    <definedName name="PKCXR36403417" hidden="1">#REF!</definedName>
    <definedName name="PKCXR36403516" hidden="1">#REF!</definedName>
    <definedName name="PKCXR36403524" hidden="1">#REF!</definedName>
    <definedName name="PKCXR3640354" hidden="1">#REF!</definedName>
    <definedName name="PKCXR36403540" hidden="1">#REF!</definedName>
    <definedName name="PKCXR36403542" hidden="1">#REF!</definedName>
    <definedName name="PKCXR36403590" hidden="1">#REF!</definedName>
    <definedName name="PKCXR3640361" hidden="1">#REF!</definedName>
    <definedName name="PKCXR36403613" hidden="1">#REF!</definedName>
    <definedName name="PKCXR36403693" hidden="1">#REF!</definedName>
    <definedName name="PKCXR36403736" hidden="1">#REF!</definedName>
    <definedName name="PKCXR36403755" hidden="1">#REF!</definedName>
    <definedName name="PKCXR36403797" hidden="1">#REF!</definedName>
    <definedName name="PKCXR36403819" hidden="1">#REF!</definedName>
    <definedName name="PKCXR36403821" hidden="1">#REF!</definedName>
    <definedName name="PKCXR36403824" hidden="1">#REF!</definedName>
    <definedName name="PKCXR36403903" hidden="1">#REF!</definedName>
    <definedName name="PKCXR36403927" hidden="1">#REF!</definedName>
    <definedName name="PKCXR36403954" hidden="1">#REF!</definedName>
    <definedName name="PKCXR36501863" hidden="1">#REF!</definedName>
    <definedName name="PKCXR37053558" hidden="1">#REF!</definedName>
    <definedName name="PKCXR37355111" hidden="1">#REF!</definedName>
    <definedName name="PKCXR37355127" hidden="1">#REF!</definedName>
    <definedName name="PKCXR37355192" hidden="1">#REF!</definedName>
    <definedName name="PKCXR37355193" hidden="1">#REF!</definedName>
    <definedName name="PKCXR37355216" hidden="1">#REF!</definedName>
    <definedName name="PKCXR37355282" hidden="1">#REF!</definedName>
    <definedName name="PKCXR37355291" hidden="1">#REF!</definedName>
    <definedName name="PKCXR37355297" hidden="1">#REF!</definedName>
    <definedName name="PKCXR37355319" hidden="1">#REF!</definedName>
    <definedName name="PKCXR37355353" hidden="1">#REF!</definedName>
    <definedName name="PKCXR37355375" hidden="1">#REF!</definedName>
    <definedName name="PKCXR37355378" hidden="1">#REF!</definedName>
    <definedName name="PKCXR37355379" hidden="1">#REF!</definedName>
    <definedName name="PKCXR37355381" hidden="1">#REF!</definedName>
    <definedName name="PKCXR37355444" hidden="1">#REF!</definedName>
    <definedName name="PKCXR37355450" hidden="1">#REF!</definedName>
    <definedName name="PKCXR37355452" hidden="1">#REF!</definedName>
    <definedName name="PKCXR3735547" hidden="1">#REF!</definedName>
    <definedName name="PKCXR37355504" hidden="1">#REF!</definedName>
    <definedName name="PKCXR37355505" hidden="1">#REF!</definedName>
    <definedName name="PKCXR37355508" hidden="1">#REF!</definedName>
    <definedName name="PKCXR37355542" hidden="1">#REF!</definedName>
    <definedName name="PKCXR37355571" hidden="1">#REF!</definedName>
    <definedName name="PKCXR3735561" hidden="1">#REF!</definedName>
    <definedName name="PKCXR37355640" hidden="1">#REF!</definedName>
    <definedName name="PKCXR37355641" hidden="1">#REF!</definedName>
    <definedName name="PKCXR37355650" hidden="1">#REF!</definedName>
    <definedName name="PKCXR37355673" hidden="1">#REF!</definedName>
    <definedName name="PKCXR37355720" hidden="1">#REF!</definedName>
    <definedName name="PKCXR37355743" hidden="1">#REF!</definedName>
    <definedName name="PKCXR37355744" hidden="1">#REF!</definedName>
    <definedName name="PKCXR37355754" hidden="1">#REF!</definedName>
    <definedName name="PKCXR37355797" hidden="1">#REF!</definedName>
    <definedName name="PKCXR37355846" hidden="1">#REF!</definedName>
    <definedName name="PKCXR37355859" hidden="1">#REF!</definedName>
    <definedName name="PKCXR37355886" hidden="1">#REF!</definedName>
    <definedName name="PKCXR37355922" hidden="1">#REF!</definedName>
    <definedName name="PKCXR3735594" hidden="1">#REF!</definedName>
    <definedName name="PKCXR37355946" hidden="1">#REF!</definedName>
    <definedName name="PKCXR37355966" hidden="1">#REF!</definedName>
    <definedName name="PKCXR37355970" hidden="1">#REF!</definedName>
    <definedName name="PKCXR3789112" hidden="1">#REF!</definedName>
    <definedName name="PKCXR37891129" hidden="1">#REF!</definedName>
    <definedName name="PKCXR37891857" hidden="1">#REF!</definedName>
    <definedName name="PKCXR37961596" hidden="1">#REF!</definedName>
    <definedName name="PKCXR38202112" hidden="1">#REF!</definedName>
    <definedName name="PKCXR38202243" hidden="1">#REF!</definedName>
    <definedName name="PKCXR3820230" hidden="1">#REF!</definedName>
    <definedName name="PKCXR38202320" hidden="1">#REF!</definedName>
    <definedName name="PKCXR38202630" hidden="1">#REF!</definedName>
    <definedName name="PKCXR38202728" hidden="1">#REF!</definedName>
    <definedName name="PKCXR39030527" hidden="1">#REF!</definedName>
    <definedName name="PKCXR39048152" hidden="1">#REF!</definedName>
    <definedName name="PKCXR39894808" hidden="1">#REF!</definedName>
    <definedName name="PKCXR40138160" hidden="1">#REF!</definedName>
    <definedName name="PKCXR40138222" hidden="1">#REF!</definedName>
    <definedName name="PKCXR40138292" hidden="1">#REF!</definedName>
    <definedName name="PKCXR40138398" hidden="1">#REF!</definedName>
    <definedName name="PKCXR40138598" hidden="1">#REF!</definedName>
    <definedName name="PKCXR40138626" hidden="1">#REF!</definedName>
    <definedName name="PKCXR40185874" hidden="1">#REF!</definedName>
    <definedName name="PKCXR40199802" hidden="1">#REF!</definedName>
    <definedName name="PKCXR40484341" hidden="1">#REF!</definedName>
    <definedName name="PKCXR41005341" hidden="1">#REF!</definedName>
    <definedName name="PKCXR41008159" hidden="1">#REF!</definedName>
    <definedName name="PKCXR41008206" hidden="1">#REF!</definedName>
    <definedName name="PKCXR41008354" hidden="1">#REF!</definedName>
    <definedName name="PKCXR41008592" hidden="1">#REF!</definedName>
    <definedName name="PKCXR41008657" hidden="1">#REF!</definedName>
    <definedName name="PKCXR4100868" hidden="1">#REF!</definedName>
    <definedName name="PKCXR41278109" hidden="1">#REF!</definedName>
    <definedName name="PKCXR41278475" hidden="1">#REF!</definedName>
    <definedName name="PKCXR41278804" hidden="1">#REF!</definedName>
    <definedName name="PKCXR41278839" hidden="1">#REF!</definedName>
    <definedName name="PKCXR41404105" hidden="1">#REF!</definedName>
    <definedName name="PKCXR41404109" hidden="1">#REF!</definedName>
    <definedName name="PKCXR41404123" hidden="1">#REF!</definedName>
    <definedName name="PKCXR41404144" hidden="1">#REF!</definedName>
    <definedName name="PKCXR41404150" hidden="1">#REF!</definedName>
    <definedName name="PKCXR41404154" hidden="1">#REF!</definedName>
    <definedName name="PKCXR41404165" hidden="1">#REF!</definedName>
    <definedName name="PKCXR41404179" hidden="1">#REF!</definedName>
    <definedName name="PKCXR41404184" hidden="1">#REF!</definedName>
    <definedName name="PKCXR41404192" hidden="1">#REF!</definedName>
    <definedName name="PKCXR41404240" hidden="1">#REF!</definedName>
    <definedName name="PKCXR41404256" hidden="1">#REF!</definedName>
    <definedName name="PKCXR41404292" hidden="1">#REF!</definedName>
    <definedName name="PKCXR41404311" hidden="1">#REF!</definedName>
    <definedName name="PKCXR41404321" hidden="1">#REF!</definedName>
    <definedName name="PKCXR41404365" hidden="1">#REF!</definedName>
    <definedName name="PKCXR41404373" hidden="1">#REF!</definedName>
    <definedName name="PKCXR41404423" hidden="1">#REF!</definedName>
    <definedName name="PKCXR41404446" hidden="1">#REF!</definedName>
    <definedName name="PKCXR41404450" hidden="1">#REF!</definedName>
    <definedName name="PKCXR41404477" hidden="1">#REF!</definedName>
    <definedName name="PKCXR41404491" hidden="1">#REF!</definedName>
    <definedName name="PKCXR41404498" hidden="1">#REF!</definedName>
    <definedName name="PKCXR41404519" hidden="1">#REF!</definedName>
    <definedName name="PKCXR41404527" hidden="1">#REF!</definedName>
    <definedName name="PKCXR41404532" hidden="1">#REF!</definedName>
    <definedName name="PKCXR41404559" hidden="1">#REF!</definedName>
    <definedName name="PKCXR41404561" hidden="1">#REF!</definedName>
    <definedName name="PKCXR41404562" hidden="1">#REF!</definedName>
    <definedName name="PKCXR41404637" hidden="1">#REF!</definedName>
    <definedName name="PKCXR41404643" hidden="1">#REF!</definedName>
    <definedName name="PKCXR41404646" hidden="1">#REF!</definedName>
    <definedName name="PKCXR4140466" hidden="1">#REF!</definedName>
    <definedName name="PKCXR41404716" hidden="1">#REF!</definedName>
    <definedName name="PKCXR4140474" hidden="1">#REF!</definedName>
    <definedName name="PKCXR41404741" hidden="1">#REF!</definedName>
    <definedName name="PKCXR41404755" hidden="1">#REF!</definedName>
    <definedName name="PKCXR4140479" hidden="1">#REF!</definedName>
    <definedName name="PKCXR4140480" hidden="1">#REF!</definedName>
    <definedName name="PKCXR41404801" hidden="1">#REF!</definedName>
    <definedName name="PKCXR4140482" hidden="1">#REF!</definedName>
    <definedName name="PKCXR41404840" hidden="1">#REF!</definedName>
    <definedName name="PKCXR41404845" hidden="1">#REF!</definedName>
    <definedName name="PKCXR41404887" hidden="1">#REF!</definedName>
    <definedName name="PKCXR41404890" hidden="1">#REF!</definedName>
    <definedName name="PKCXR41404902" hidden="1">#REF!</definedName>
    <definedName name="PKCXR41404904" hidden="1">#REF!</definedName>
    <definedName name="PKCXR41404923" hidden="1">#REF!</definedName>
    <definedName name="PKCXR41404924" hidden="1">#REF!</definedName>
    <definedName name="PKCXR41404993" hidden="1">#REF!</definedName>
    <definedName name="PKCXR41761412" hidden="1">#REF!</definedName>
    <definedName name="PKCXR4229348" hidden="1">#REF!</definedName>
    <definedName name="PKCXR42754457" hidden="1">#REF!</definedName>
    <definedName name="PKCXR42847221" hidden="1">#REF!</definedName>
    <definedName name="PKCXR42847441" hidden="1">#REF!</definedName>
    <definedName name="PKCXR42847891" hidden="1">#REF!</definedName>
    <definedName name="PKCXR43027240" hidden="1">#REF!</definedName>
    <definedName name="PKCXR43115141" hidden="1">#REF!</definedName>
    <definedName name="PKCXR43277713" hidden="1">#REF!</definedName>
    <definedName name="PKCXR43347320" hidden="1">#REF!</definedName>
    <definedName name="PKCXR4438715" hidden="1">#REF!</definedName>
    <definedName name="PKCXR4494607" hidden="1">#REF!</definedName>
    <definedName name="PKCXR4536101" hidden="1">#REF!</definedName>
    <definedName name="PKCXR4536121" hidden="1">#REF!</definedName>
    <definedName name="PKCXR4536136" hidden="1">#REF!</definedName>
    <definedName name="PKCXR453615" hidden="1">#REF!</definedName>
    <definedName name="PKCXR4536162" hidden="1">#REF!</definedName>
    <definedName name="PKCXR4536206" hidden="1">#REF!</definedName>
    <definedName name="PKCXR4536235" hidden="1">#REF!</definedName>
    <definedName name="PKCXR4536239" hidden="1">#REF!</definedName>
    <definedName name="PKCXR4536293" hidden="1">#REF!</definedName>
    <definedName name="PKCXR4536299" hidden="1">#REF!</definedName>
    <definedName name="PKCXR4536347" hidden="1">#REF!</definedName>
    <definedName name="PKCXR4536355" hidden="1">#REF!</definedName>
    <definedName name="PKCXR4536373" hidden="1">#REF!</definedName>
    <definedName name="PKCXR4536406" hidden="1">#REF!</definedName>
    <definedName name="PKCXR4536416" hidden="1">#REF!</definedName>
    <definedName name="PKCXR4536431" hidden="1">#REF!</definedName>
    <definedName name="PKCXR4536455" hidden="1">#REF!</definedName>
    <definedName name="PKCXR4536476" hidden="1">#REF!</definedName>
    <definedName name="PKCXR4536482" hidden="1">#REF!</definedName>
    <definedName name="PKCXR4536489" hidden="1">#REF!</definedName>
    <definedName name="PKCXR4536500" hidden="1">#REF!</definedName>
    <definedName name="PKCXR4536506" hidden="1">#REF!</definedName>
    <definedName name="PKCXR4536520" hidden="1">#REF!</definedName>
    <definedName name="PKCXR4536533" hidden="1">#REF!</definedName>
    <definedName name="PKCXR4536564" hidden="1">#REF!</definedName>
    <definedName name="PKCXR4536567" hidden="1">#REF!</definedName>
    <definedName name="PKCXR4536570" hidden="1">#REF!</definedName>
    <definedName name="PKCXR4536572" hidden="1">#REF!</definedName>
    <definedName name="PKCXR4536588" hidden="1">#REF!</definedName>
    <definedName name="PKCXR4536640" hidden="1">#REF!</definedName>
    <definedName name="PKCXR453666" hidden="1">#REF!</definedName>
    <definedName name="PKCXR4536676" hidden="1">#REF!</definedName>
    <definedName name="PKCXR4536680" hidden="1">#REF!</definedName>
    <definedName name="PKCXR4536716" hidden="1">#REF!</definedName>
    <definedName name="PKCXR4536725" hidden="1">#REF!</definedName>
    <definedName name="PKCXR4536730" hidden="1">#REF!</definedName>
    <definedName name="PKCXR453674" hidden="1">#REF!</definedName>
    <definedName name="PKCXR4536816" hidden="1">#REF!</definedName>
    <definedName name="PKCXR4536817" hidden="1">#REF!</definedName>
    <definedName name="PKCXR4536834" hidden="1">#REF!</definedName>
    <definedName name="PKCXR4536863" hidden="1">#REF!</definedName>
    <definedName name="PKCXR453687" hidden="1">#REF!</definedName>
    <definedName name="PKCXR4536900" hidden="1">#REF!</definedName>
    <definedName name="PKCXR4536904" hidden="1">#REF!</definedName>
    <definedName name="PKCXR4536912" hidden="1">#REF!</definedName>
    <definedName name="PKCXR4536949" hidden="1">#REF!</definedName>
    <definedName name="PKCXR4536961" hidden="1">#REF!</definedName>
    <definedName name="PKCXR4536970" hidden="1">#REF!</definedName>
    <definedName name="PKCXR4536976" hidden="1">#REF!</definedName>
    <definedName name="PKCXR4536982" hidden="1">#REF!</definedName>
    <definedName name="PKCXR4536996" hidden="1">#REF!</definedName>
    <definedName name="PKCXR45422740" hidden="1">#REF!</definedName>
    <definedName name="PKCXR4566116" hidden="1">#REF!</definedName>
    <definedName name="PKCXR4566538" hidden="1">#REF!</definedName>
    <definedName name="PKCXR4566644" hidden="1">#REF!</definedName>
    <definedName name="PKCXR4566676" hidden="1">#REF!</definedName>
    <definedName name="PKCXR4566769" hidden="1">#REF!</definedName>
    <definedName name="PKCXR4566826" hidden="1">#REF!</definedName>
    <definedName name="PKCXR4579824" hidden="1">#REF!</definedName>
    <definedName name="PKCXR45798571" hidden="1">#REF!</definedName>
    <definedName name="PKCXR45798884" hidden="1">#REF!</definedName>
    <definedName name="PKCXR45965623" hidden="1">#REF!</definedName>
    <definedName name="PKCXR461889" hidden="1">#REF!</definedName>
    <definedName name="PKCXR46299867" hidden="1">#REF!</definedName>
    <definedName name="PKCXR46359318" hidden="1">#REF!</definedName>
    <definedName name="PKCXR46802218" hidden="1">#REF!</definedName>
    <definedName name="PKCXR46871172" hidden="1">#REF!</definedName>
    <definedName name="PKCXR46871176" hidden="1">#REF!</definedName>
    <definedName name="PKCXR46871208" hidden="1">#REF!</definedName>
    <definedName name="PKCXR46871228" hidden="1">#REF!</definedName>
    <definedName name="PKCXR46871341" hidden="1">#REF!</definedName>
    <definedName name="PKCXR46871394" hidden="1">#REF!</definedName>
    <definedName name="PKCXR46871445" hidden="1">#REF!</definedName>
    <definedName name="PKCXR46871671" hidden="1">#REF!</definedName>
    <definedName name="PKCXR46871710" hidden="1">#REF!</definedName>
    <definedName name="PKCXR46871774" hidden="1">#REF!</definedName>
    <definedName name="PKCXR4687179" hidden="1">#REF!</definedName>
    <definedName name="PKCXR46871805" hidden="1">#REF!</definedName>
    <definedName name="PKCXR46871845" hidden="1">#REF!</definedName>
    <definedName name="PKCXR4687188" hidden="1">#REF!</definedName>
    <definedName name="PKCXR46871894" hidden="1">#REF!</definedName>
    <definedName name="PKCXR46871918" hidden="1">#REF!</definedName>
    <definedName name="PKCXR46871921" hidden="1">#REF!</definedName>
    <definedName name="PKCXR46871949" hidden="1">#REF!</definedName>
    <definedName name="PKCXR46871969" hidden="1">#REF!</definedName>
    <definedName name="PKCXR47447921" hidden="1">#REF!</definedName>
    <definedName name="PKCXR47802706" hidden="1">#REF!</definedName>
    <definedName name="PKCXR48048700" hidden="1">#REF!</definedName>
    <definedName name="PKCXR4813482" hidden="1">#REF!</definedName>
    <definedName name="PKCXR48244535" hidden="1">#REF!</definedName>
    <definedName name="PKCXR48984369" hidden="1">#REF!</definedName>
    <definedName name="PKCXR48990951" hidden="1">#REF!</definedName>
    <definedName name="PKCXR492189" hidden="1">#REF!</definedName>
    <definedName name="PKCXR50246494" hidden="1">#REF!</definedName>
    <definedName name="PKCXR50610266" hidden="1">#REF!</definedName>
    <definedName name="PKCXR50908451" hidden="1">#REF!</definedName>
    <definedName name="PKCXR51375932" hidden="1">#REF!</definedName>
    <definedName name="PKCXR52488119" hidden="1">#REF!</definedName>
    <definedName name="PKCXR52488224" hidden="1">#REF!</definedName>
    <definedName name="PKCXR5248825" hidden="1">#REF!</definedName>
    <definedName name="PKCXR52488291" hidden="1">#REF!</definedName>
    <definedName name="PKCXR52488299" hidden="1">#REF!</definedName>
    <definedName name="PKCXR52488323" hidden="1">#REF!</definedName>
    <definedName name="PKCXR52488458" hidden="1">#REF!</definedName>
    <definedName name="PKCXR52488534" hidden="1">#REF!</definedName>
    <definedName name="PKCXR5248857" hidden="1">#REF!</definedName>
    <definedName name="PKCXR52488574" hidden="1">#REF!</definedName>
    <definedName name="PKCXR52488687" hidden="1">#REF!</definedName>
    <definedName name="PKCXR5248874" hidden="1">#REF!</definedName>
    <definedName name="PKCXR52488806" hidden="1">#REF!</definedName>
    <definedName name="PKCXR52488833" hidden="1">#REF!</definedName>
    <definedName name="PKCXR52488849" hidden="1">#REF!</definedName>
    <definedName name="PKCXR52488881" hidden="1">#REF!</definedName>
    <definedName name="PKCXR52488911" hidden="1">#REF!</definedName>
    <definedName name="PKCXR52488935" hidden="1">#REF!</definedName>
    <definedName name="PKCXR5248894" hidden="1">#REF!</definedName>
    <definedName name="PKCXR5248895" hidden="1">#REF!</definedName>
    <definedName name="PKCXR52488956" hidden="1">#REF!</definedName>
    <definedName name="PKCXR52488968" hidden="1">#REF!</definedName>
    <definedName name="PKCXR52488978" hidden="1">#REF!</definedName>
    <definedName name="PKCXR52488986" hidden="1">#REF!</definedName>
    <definedName name="PKCXR52488987" hidden="1">#REF!</definedName>
    <definedName name="PKCXR52488993" hidden="1">#REF!</definedName>
    <definedName name="PKCXR52983245" hidden="1">#REF!</definedName>
    <definedName name="PKCXR53022263" hidden="1">#REF!</definedName>
    <definedName name="PKCXR53303313" hidden="1">#REF!</definedName>
    <definedName name="PKCXR5334310" hidden="1">#REF!</definedName>
    <definedName name="PKCXR53343100" hidden="1">#REF!</definedName>
    <definedName name="PKCXR53343102" hidden="1">#REF!</definedName>
    <definedName name="PKCXR53343107" hidden="1">#REF!</definedName>
    <definedName name="PKCXR53343133" hidden="1">#REF!</definedName>
    <definedName name="PKCXR53343139" hidden="1">#REF!</definedName>
    <definedName name="PKCXR53343148" hidden="1">#REF!</definedName>
    <definedName name="PKCXR53343149" hidden="1">#REF!</definedName>
    <definedName name="PKCXR53343150" hidden="1">#REF!</definedName>
    <definedName name="PKCXR53343153" hidden="1">#REF!</definedName>
    <definedName name="PKCXR53343159" hidden="1">#REF!</definedName>
    <definedName name="PKCXR53343161" hidden="1">#REF!</definedName>
    <definedName name="PKCXR53343170" hidden="1">#REF!</definedName>
    <definedName name="PKCXR53343173" hidden="1">#REF!</definedName>
    <definedName name="PKCXR53343174" hidden="1">#REF!</definedName>
    <definedName name="PKCXR5334318" hidden="1">#REF!</definedName>
    <definedName name="PKCXR53343180" hidden="1">#REF!</definedName>
    <definedName name="PKCXR533432" hidden="1">#REF!</definedName>
    <definedName name="PKCXR53343200" hidden="1">#REF!</definedName>
    <definedName name="PKCXR5334321" hidden="1">#REF!</definedName>
    <definedName name="PKCXR53343220" hidden="1">#REF!</definedName>
    <definedName name="PKCXR53343228" hidden="1">#REF!</definedName>
    <definedName name="PKCXR53343250" hidden="1">#REF!</definedName>
    <definedName name="PKCXR53343254" hidden="1">#REF!</definedName>
    <definedName name="PKCXR53343255" hidden="1">#REF!</definedName>
    <definedName name="PKCXR53343259" hidden="1">#REF!</definedName>
    <definedName name="PKCXR53343261" hidden="1">#REF!</definedName>
    <definedName name="PKCXR53343262" hidden="1">#REF!</definedName>
    <definedName name="PKCXR53343263" hidden="1">#REF!</definedName>
    <definedName name="PKCXR53343274" hidden="1">#REF!</definedName>
    <definedName name="PKCXR53343276" hidden="1">#REF!</definedName>
    <definedName name="PKCXR53343277" hidden="1">#REF!</definedName>
    <definedName name="PKCXR5334328" hidden="1">#REF!</definedName>
    <definedName name="PKCXR53343281" hidden="1">#REF!</definedName>
    <definedName name="PKCXR53343289" hidden="1">#REF!</definedName>
    <definedName name="PKCXR53343315" hidden="1">#REF!</definedName>
    <definedName name="PKCXR53343325" hidden="1">#REF!</definedName>
    <definedName name="PKCXR53343348" hidden="1">#REF!</definedName>
    <definedName name="PKCXR53343349" hidden="1">#REF!</definedName>
    <definedName name="PKCXR53343350" hidden="1">#REF!</definedName>
    <definedName name="PKCXR53343355" hidden="1">#REF!</definedName>
    <definedName name="PKCXR53343361" hidden="1">#REF!</definedName>
    <definedName name="PKCXR53343369" hidden="1">#REF!</definedName>
    <definedName name="PKCXR53343397" hidden="1">#REF!</definedName>
    <definedName name="PKCXR53343404" hidden="1">#REF!</definedName>
    <definedName name="PKCXR53343413" hidden="1">#REF!</definedName>
    <definedName name="PKCXR53343415" hidden="1">#REF!</definedName>
    <definedName name="PKCXR53343419" hidden="1">#REF!</definedName>
    <definedName name="PKCXR53343431" hidden="1">#REF!</definedName>
    <definedName name="PKCXR53343439" hidden="1">#REF!</definedName>
    <definedName name="PKCXR53343444" hidden="1">#REF!</definedName>
    <definedName name="PKCXR53343467" hidden="1">#REF!</definedName>
    <definedName name="PKCXR53343482" hidden="1">#REF!</definedName>
    <definedName name="PKCXR53343484" hidden="1">#REF!</definedName>
    <definedName name="PKCXR53343522" hidden="1">#REF!</definedName>
    <definedName name="PKCXR53343524" hidden="1">#REF!</definedName>
    <definedName name="PKCXR53343533" hidden="1">#REF!</definedName>
    <definedName name="PKCXR53343561" hidden="1">#REF!</definedName>
    <definedName name="PKCXR53343563" hidden="1">#REF!</definedName>
    <definedName name="PKCXR53343566" hidden="1">#REF!</definedName>
    <definedName name="PKCXR53343582" hidden="1">#REF!</definedName>
    <definedName name="PKCXR53343600" hidden="1">#REF!</definedName>
    <definedName name="PKCXR53343607" hidden="1">#REF!</definedName>
    <definedName name="PKCXR53343616" hidden="1">#REF!</definedName>
    <definedName name="PKCXR53343620" hidden="1">#REF!</definedName>
    <definedName name="PKCXR53343622" hidden="1">#REF!</definedName>
    <definedName name="PKCXR53343626" hidden="1">#REF!</definedName>
    <definedName name="PKCXR5334364" hidden="1">#REF!</definedName>
    <definedName name="PKCXR53343646" hidden="1">#REF!</definedName>
    <definedName name="PKCXR53343656" hidden="1">#REF!</definedName>
    <definedName name="PKCXR53343670" hidden="1">#REF!</definedName>
    <definedName name="PKCXR53343677" hidden="1">#REF!</definedName>
    <definedName name="PKCXR5334368" hidden="1">#REF!</definedName>
    <definedName name="PKCXR53343680" hidden="1">#REF!</definedName>
    <definedName name="PKCXR53343699" hidden="1">#REF!</definedName>
    <definedName name="PKCXR53343722" hidden="1">#REF!</definedName>
    <definedName name="PKCXR53343729" hidden="1">#REF!</definedName>
    <definedName name="PKCXR53343734" hidden="1">#REF!</definedName>
    <definedName name="PKCXR53343745" hidden="1">#REF!</definedName>
    <definedName name="PKCXR5334375" hidden="1">#REF!</definedName>
    <definedName name="PKCXR53343756" hidden="1">#REF!</definedName>
    <definedName name="PKCXR53343757" hidden="1">#REF!</definedName>
    <definedName name="PKCXR53343760" hidden="1">#REF!</definedName>
    <definedName name="PKCXR53343765" hidden="1">#REF!</definedName>
    <definedName name="PKCXR53343768" hidden="1">#REF!</definedName>
    <definedName name="PKCXR53343775" hidden="1">#REF!</definedName>
    <definedName name="PKCXR53343778" hidden="1">#REF!</definedName>
    <definedName name="PKCXR53343783" hidden="1">#REF!</definedName>
    <definedName name="PKCXR53343786" hidden="1">#REF!</definedName>
    <definedName name="PKCXR53343806" hidden="1">#REF!</definedName>
    <definedName name="PKCXR5334381" hidden="1">#REF!</definedName>
    <definedName name="PKCXR53343810" hidden="1">#REF!</definedName>
    <definedName name="PKCXR53343812" hidden="1">#REF!</definedName>
    <definedName name="PKCXR53343826" hidden="1">#REF!</definedName>
    <definedName name="PKCXR53343854" hidden="1">#REF!</definedName>
    <definedName name="PKCXR53343858" hidden="1">#REF!</definedName>
    <definedName name="PKCXR53343863" hidden="1">#REF!</definedName>
    <definedName name="PKCXR5334387" hidden="1">#REF!</definedName>
    <definedName name="PKCXR53343872" hidden="1">#REF!</definedName>
    <definedName name="PKCXR53343877" hidden="1">#REF!</definedName>
    <definedName name="PKCXR53343879" hidden="1">#REF!</definedName>
    <definedName name="PKCXR53343883" hidden="1">#REF!</definedName>
    <definedName name="PKCXR53343891" hidden="1">#REF!</definedName>
    <definedName name="PKCXR533439" hidden="1">#REF!</definedName>
    <definedName name="PKCXR53343921" hidden="1">#REF!</definedName>
    <definedName name="PKCXR53343935" hidden="1">#REF!</definedName>
    <definedName name="PKCXR53343936" hidden="1">#REF!</definedName>
    <definedName name="PKCXR53343937" hidden="1">#REF!</definedName>
    <definedName name="PKCXR53343945" hidden="1">#REF!</definedName>
    <definedName name="PKCXR5334395" hidden="1">#REF!</definedName>
    <definedName name="PKCXR53343950" hidden="1">#REF!</definedName>
    <definedName name="PKCXR53343957" hidden="1">#REF!</definedName>
    <definedName name="PKCXR53343979" hidden="1">#REF!</definedName>
    <definedName name="PKCXR5334398" hidden="1">#REF!</definedName>
    <definedName name="PKCXR53343986" hidden="1">#REF!</definedName>
    <definedName name="PKCXR53388123" hidden="1">#REF!</definedName>
    <definedName name="PKCXR53388285" hidden="1">#REF!</definedName>
    <definedName name="PKCXR53388289" hidden="1">#REF!</definedName>
    <definedName name="PKCXR53388298" hidden="1">#REF!</definedName>
    <definedName name="PKCXR53388325" hidden="1">#REF!</definedName>
    <definedName name="PKCXR53388472" hidden="1">#REF!</definedName>
    <definedName name="PKCXR5338870" hidden="1">#REF!</definedName>
    <definedName name="PKCXR53388749" hidden="1">#REF!</definedName>
    <definedName name="PKCXR53388876" hidden="1">#REF!</definedName>
    <definedName name="PKCXR53388886" hidden="1">#REF!</definedName>
    <definedName name="PKCXR53388985" hidden="1">#REF!</definedName>
    <definedName name="PKCXR535113" hidden="1">#REF!</definedName>
    <definedName name="PKCXR5351177" hidden="1">#REF!</definedName>
    <definedName name="PKCXR5351240" hidden="1">#REF!</definedName>
    <definedName name="PKCXR5351254" hidden="1">#REF!</definedName>
    <definedName name="PKCXR5351290" hidden="1">#REF!</definedName>
    <definedName name="PKCXR5351293" hidden="1">#REF!</definedName>
    <definedName name="PKCXR5351329" hidden="1">#REF!</definedName>
    <definedName name="PKCXR5351333" hidden="1">#REF!</definedName>
    <definedName name="PKCXR535137" hidden="1">#REF!</definedName>
    <definedName name="PKCXR5351418" hidden="1">#REF!</definedName>
    <definedName name="PKCXR5351523" hidden="1">#REF!</definedName>
    <definedName name="PKCXR5351549" hidden="1">#REF!</definedName>
    <definedName name="PKCXR5351567" hidden="1">#REF!</definedName>
    <definedName name="PKCXR53516" hidden="1">#REF!</definedName>
    <definedName name="PKCXR5351652" hidden="1">#REF!</definedName>
    <definedName name="PKCXR5351714" hidden="1">#REF!</definedName>
    <definedName name="PKCXR5351718" hidden="1">#REF!</definedName>
    <definedName name="PKCXR535176" hidden="1">#REF!</definedName>
    <definedName name="PKCXR5351778" hidden="1">#REF!</definedName>
    <definedName name="PKCXR5351877" hidden="1">#REF!</definedName>
    <definedName name="PKCXR5351965" hidden="1">#REF!</definedName>
    <definedName name="PKCXR5351971" hidden="1">#REF!</definedName>
    <definedName name="PKCXR53680647" hidden="1">#REF!</definedName>
    <definedName name="PKCXR54092931" hidden="1">#REF!</definedName>
    <definedName name="PKCXR54204191" hidden="1">#REF!</definedName>
    <definedName name="PKCXR54208567" hidden="1">#REF!</definedName>
    <definedName name="PKCXR54295584" hidden="1">#REF!</definedName>
    <definedName name="PKCXR54319286" hidden="1">#REF!</definedName>
    <definedName name="PKCXR54337723" hidden="1">#REF!</definedName>
    <definedName name="PKCXR54402587" hidden="1">#REF!</definedName>
    <definedName name="PKCXR556077" hidden="1">#REF!</definedName>
    <definedName name="PKCXR56102545" hidden="1">#REF!</definedName>
    <definedName name="PKCXR56105923" hidden="1">#REF!</definedName>
    <definedName name="PKCXR5625100" hidden="1">#REF!</definedName>
    <definedName name="PKCXR5625118" hidden="1">#REF!</definedName>
    <definedName name="PKCXR5625188" hidden="1">#REF!</definedName>
    <definedName name="PKCXR5625190" hidden="1">#REF!</definedName>
    <definedName name="PKCXR5625208" hidden="1">#REF!</definedName>
    <definedName name="PKCXR562523" hidden="1">#REF!</definedName>
    <definedName name="PKCXR5625247" hidden="1">#REF!</definedName>
    <definedName name="PKCXR5625269" hidden="1">#REF!</definedName>
    <definedName name="PKCXR5625270" hidden="1">#REF!</definedName>
    <definedName name="PKCXR5625324" hidden="1">#REF!</definedName>
    <definedName name="PKCXR5625358" hidden="1">#REF!</definedName>
    <definedName name="PKCXR5625423" hidden="1">#REF!</definedName>
    <definedName name="PKCXR5625431" hidden="1">#REF!</definedName>
    <definedName name="PKCXR5625474" hidden="1">#REF!</definedName>
    <definedName name="PKCXR5625498" hidden="1">#REF!</definedName>
    <definedName name="PKCXR5625500" hidden="1">#REF!</definedName>
    <definedName name="PKCXR5625510" hidden="1">#REF!</definedName>
    <definedName name="PKCXR5625520" hidden="1">#REF!</definedName>
    <definedName name="PKCXR5625572" hidden="1">#REF!</definedName>
    <definedName name="PKCXR5625644" hidden="1">#REF!</definedName>
    <definedName name="PKCXR5625651" hidden="1">#REF!</definedName>
    <definedName name="PKCXR5625655" hidden="1">#REF!</definedName>
    <definedName name="PKCXR5625723" hidden="1">#REF!</definedName>
    <definedName name="PKCXR5625729" hidden="1">#REF!</definedName>
    <definedName name="PKCXR5625750" hidden="1">#REF!</definedName>
    <definedName name="PKCXR5625795" hidden="1">#REF!</definedName>
    <definedName name="PKCXR5625811" hidden="1">#REF!</definedName>
    <definedName name="PKCXR5625830" hidden="1">#REF!</definedName>
    <definedName name="PKCXR56259" hidden="1">#REF!</definedName>
    <definedName name="PKCXR5625914" hidden="1">#REF!</definedName>
    <definedName name="PKCXR5625969" hidden="1">#REF!</definedName>
    <definedName name="PKCXR57519180" hidden="1">#REF!</definedName>
    <definedName name="PKCXR57519192" hidden="1">#REF!</definedName>
    <definedName name="PKCXR57519196" hidden="1">#REF!</definedName>
    <definedName name="PKCXR57519366" hidden="1">#REF!</definedName>
    <definedName name="PKCXR57519415" hidden="1">#REF!</definedName>
    <definedName name="PKCXR57519426" hidden="1">#REF!</definedName>
    <definedName name="PKCXR57519565" hidden="1">#REF!</definedName>
    <definedName name="PKCXR57519598" hidden="1">#REF!</definedName>
    <definedName name="PKCXR57519613" hidden="1">#REF!</definedName>
    <definedName name="PKCXR57953100" hidden="1">#REF!</definedName>
    <definedName name="PKCXR57953102" hidden="1">#REF!</definedName>
    <definedName name="PKCXR57953126" hidden="1">#REF!</definedName>
    <definedName name="PKCXR57953151" hidden="1">#REF!</definedName>
    <definedName name="PKCXR57953161" hidden="1">#REF!</definedName>
    <definedName name="PKCXR57953163" hidden="1">#REF!</definedName>
    <definedName name="PKCXR57953170" hidden="1">#REF!</definedName>
    <definedName name="PKCXR57953171" hidden="1">#REF!</definedName>
    <definedName name="PKCXR57953192" hidden="1">#REF!</definedName>
    <definedName name="PKCXR57953206" hidden="1">#REF!</definedName>
    <definedName name="PKCXR57953214" hidden="1">#REF!</definedName>
    <definedName name="PKCXR57953222" hidden="1">#REF!</definedName>
    <definedName name="PKCXR57953229" hidden="1">#REF!</definedName>
    <definedName name="PKCXR57953261" hidden="1">#REF!</definedName>
    <definedName name="PKCXR57953303" hidden="1">#REF!</definedName>
    <definedName name="PKCXR57953306" hidden="1">#REF!</definedName>
    <definedName name="PKCXR57953310" hidden="1">#REF!</definedName>
    <definedName name="PKCXR57953314" hidden="1">#REF!</definedName>
    <definedName name="PKCXR5795332" hidden="1">#REF!</definedName>
    <definedName name="PKCXR5795334" hidden="1">#REF!</definedName>
    <definedName name="PKCXR57953348" hidden="1">#REF!</definedName>
    <definedName name="PKCXR57953352" hidden="1">#REF!</definedName>
    <definedName name="PKCXR57953359" hidden="1">#REF!</definedName>
    <definedName name="PKCXR57953367" hidden="1">#REF!</definedName>
    <definedName name="PKCXR57953408" hidden="1">#REF!</definedName>
    <definedName name="PKCXR57953427" hidden="1">#REF!</definedName>
    <definedName name="PKCXR57953428" hidden="1">#REF!</definedName>
    <definedName name="PKCXR57953436" hidden="1">#REF!</definedName>
    <definedName name="PKCXR57953438" hidden="1">#REF!</definedName>
    <definedName name="PKCXR57953439" hidden="1">#REF!</definedName>
    <definedName name="PKCXR5795344" hidden="1">#REF!</definedName>
    <definedName name="PKCXR57953448" hidden="1">#REF!</definedName>
    <definedName name="PKCXR5795345" hidden="1">#REF!</definedName>
    <definedName name="PKCXR57953451" hidden="1">#REF!</definedName>
    <definedName name="PKCXR57953453" hidden="1">#REF!</definedName>
    <definedName name="PKCXR5795346" hidden="1">#REF!</definedName>
    <definedName name="PKCXR57953460" hidden="1">#REF!</definedName>
    <definedName name="PKCXR57953467" hidden="1">#REF!</definedName>
    <definedName name="PKCXR57953491" hidden="1">#REF!</definedName>
    <definedName name="PKCXR5795351" hidden="1">#REF!</definedName>
    <definedName name="PKCXR5795352" hidden="1">#REF!</definedName>
    <definedName name="PKCXR57953530" hidden="1">#REF!</definedName>
    <definedName name="PKCXR57953537" hidden="1">#REF!</definedName>
    <definedName name="PKCXR57953540" hidden="1">#REF!</definedName>
    <definedName name="PKCXR57953544" hidden="1">#REF!</definedName>
    <definedName name="PKCXR57953550" hidden="1">#REF!</definedName>
    <definedName name="PKCXR57953552" hidden="1">#REF!</definedName>
    <definedName name="PKCXR57953572" hidden="1">#REF!</definedName>
    <definedName name="PKCXR57953598" hidden="1">#REF!</definedName>
    <definedName name="PKCXR57953599" hidden="1">#REF!</definedName>
    <definedName name="PKCXR57953605" hidden="1">#REF!</definedName>
    <definedName name="PKCXR57953608" hidden="1">#REF!</definedName>
    <definedName name="PKCXR5795361" hidden="1">#REF!</definedName>
    <definedName name="PKCXR57953611" hidden="1">#REF!</definedName>
    <definedName name="PKCXR57953613" hidden="1">#REF!</definedName>
    <definedName name="PKCXR57953618" hidden="1">#REF!</definedName>
    <definedName name="PKCXR57953621" hidden="1">#REF!</definedName>
    <definedName name="PKCXR57953622" hidden="1">#REF!</definedName>
    <definedName name="PKCXR57953629" hidden="1">#REF!</definedName>
    <definedName name="PKCXR57953636" hidden="1">#REF!</definedName>
    <definedName name="PKCXR57953637" hidden="1">#REF!</definedName>
    <definedName name="PKCXR57953649" hidden="1">#REF!</definedName>
    <definedName name="PKCXR57953650" hidden="1">#REF!</definedName>
    <definedName name="PKCXR57953654" hidden="1">#REF!</definedName>
    <definedName name="PKCXR57953671" hidden="1">#REF!</definedName>
    <definedName name="PKCXR57953679" hidden="1">#REF!</definedName>
    <definedName name="PKCXR5795368" hidden="1">#REF!</definedName>
    <definedName name="PKCXR57953693" hidden="1">#REF!</definedName>
    <definedName name="PKCXR57953707" hidden="1">#REF!</definedName>
    <definedName name="PKCXR57953715" hidden="1">#REF!</definedName>
    <definedName name="PKCXR57953720" hidden="1">#REF!</definedName>
    <definedName name="PKCXR57953728" hidden="1">#REF!</definedName>
    <definedName name="PKCXR57953743" hidden="1">#REF!</definedName>
    <definedName name="PKCXR57953760" hidden="1">#REF!</definedName>
    <definedName name="PKCXR57953765" hidden="1">#REF!</definedName>
    <definedName name="PKCXR5795379" hidden="1">#REF!</definedName>
    <definedName name="PKCXR57953824" hidden="1">#REF!</definedName>
    <definedName name="PKCXR57953843" hidden="1">#REF!</definedName>
    <definedName name="PKCXR57953846" hidden="1">#REF!</definedName>
    <definedName name="PKCXR57953863" hidden="1">#REF!</definedName>
    <definedName name="PKCXR57953878" hidden="1">#REF!</definedName>
    <definedName name="PKCXR57953888" hidden="1">#REF!</definedName>
    <definedName name="PKCXR57953902" hidden="1">#REF!</definedName>
    <definedName name="PKCXR57953905" hidden="1">#REF!</definedName>
    <definedName name="PKCXR57953911" hidden="1">#REF!</definedName>
    <definedName name="PKCXR57953923" hidden="1">#REF!</definedName>
    <definedName name="PKCXR57953927" hidden="1">#REF!</definedName>
    <definedName name="PKCXR57953933" hidden="1">#REF!</definedName>
    <definedName name="PKCXR57953935" hidden="1">#REF!</definedName>
    <definedName name="PKCXR57953944" hidden="1">#REF!</definedName>
    <definedName name="PKCXR57953959" hidden="1">#REF!</definedName>
    <definedName name="PKCXR57953973" hidden="1">#REF!</definedName>
    <definedName name="PKCXR57953986" hidden="1">#REF!</definedName>
    <definedName name="PKCXR57953994" hidden="1">#REF!</definedName>
    <definedName name="PKCXR58337185" hidden="1">#REF!</definedName>
    <definedName name="PKCXR58337297" hidden="1">#REF!</definedName>
    <definedName name="PKCXR58337351" hidden="1">#REF!</definedName>
    <definedName name="PKCXR58337425" hidden="1">#REF!</definedName>
    <definedName name="PKCXR58454846" hidden="1">#REF!</definedName>
    <definedName name="PKCXR58864648" hidden="1">#REF!</definedName>
    <definedName name="PKCXR58917147" hidden="1">#REF!</definedName>
    <definedName name="PKCXR58917180" hidden="1">#REF!</definedName>
    <definedName name="PKCXR58917205" hidden="1">#REF!</definedName>
    <definedName name="PKCXR5891725" hidden="1">#REF!</definedName>
    <definedName name="PKCXR58917308" hidden="1">#REF!</definedName>
    <definedName name="PKCXR58917406" hidden="1">#REF!</definedName>
    <definedName name="PKCXR58917441" hidden="1">#REF!</definedName>
    <definedName name="PKCXR58917488" hidden="1">#REF!</definedName>
    <definedName name="PKCXR58917489" hidden="1">#REF!</definedName>
    <definedName name="PKCXR58917522" hidden="1">#REF!</definedName>
    <definedName name="PKCXR58917725" hidden="1">#REF!</definedName>
    <definedName name="PKCXR58917879" hidden="1">#REF!</definedName>
    <definedName name="PKCXR58917905" hidden="1">#REF!</definedName>
    <definedName name="PKCXR5891795" hidden="1">#REF!</definedName>
    <definedName name="PKCXR58980614" hidden="1">#REF!</definedName>
    <definedName name="PKCXR5924710" hidden="1">#REF!</definedName>
    <definedName name="PKCXR59247105" hidden="1">#REF!</definedName>
    <definedName name="PKCXR59247196" hidden="1">#REF!</definedName>
    <definedName name="PKCXR59247229" hidden="1">#REF!</definedName>
    <definedName name="PKCXR59247271" hidden="1">#REF!</definedName>
    <definedName name="PKCXR59247321" hidden="1">#REF!</definedName>
    <definedName name="PKCXR59247392" hidden="1">#REF!</definedName>
    <definedName name="PKCXR59247453" hidden="1">#REF!</definedName>
    <definedName name="PKCXR59247499" hidden="1">#REF!</definedName>
    <definedName name="PKCXR59247511" hidden="1">#REF!</definedName>
    <definedName name="PKCXR59247518" hidden="1">#REF!</definedName>
    <definedName name="PKCXR59247562" hidden="1">#REF!</definedName>
    <definedName name="PKCXR59247588" hidden="1">#REF!</definedName>
    <definedName name="PKCXR59247678" hidden="1">#REF!</definedName>
    <definedName name="PKCXR59247679" hidden="1">#REF!</definedName>
    <definedName name="PKCXR59247819" hidden="1">#REF!</definedName>
    <definedName name="PKCXR59247835" hidden="1">#REF!</definedName>
    <definedName name="PKCXR59247844" hidden="1">#REF!</definedName>
    <definedName name="PKCXR59247915" hidden="1">#REF!</definedName>
    <definedName name="PKCXR59247937" hidden="1">#REF!</definedName>
    <definedName name="PKCXR59610287" hidden="1">#REF!</definedName>
    <definedName name="PKCXR6093629" hidden="1">#REF!</definedName>
    <definedName name="PKCXR61394127" hidden="1">#REF!</definedName>
    <definedName name="PKCXR6153369" hidden="1">#REF!</definedName>
    <definedName name="PKCXR61920525" hidden="1">#REF!</definedName>
    <definedName name="PKCXR6202279" hidden="1">#REF!</definedName>
    <definedName name="PKCXR62271158" hidden="1">#REF!</definedName>
    <definedName name="PKCXR62271171" hidden="1">#REF!</definedName>
    <definedName name="PKCXR62271342" hidden="1">#REF!</definedName>
    <definedName name="PKCXR62271348" hidden="1">#REF!</definedName>
    <definedName name="PKCXR6227136" hidden="1">#REF!</definedName>
    <definedName name="PKCXR62271371" hidden="1">#REF!</definedName>
    <definedName name="PKCXR62271374" hidden="1">#REF!</definedName>
    <definedName name="PKCXR62271379" hidden="1">#REF!</definedName>
    <definedName name="PKCXR62271385" hidden="1">#REF!</definedName>
    <definedName name="PKCXR6227151" hidden="1">#REF!</definedName>
    <definedName name="PKCXR62271543" hidden="1">#REF!</definedName>
    <definedName name="PKCXR62271605" hidden="1">#REF!</definedName>
    <definedName name="PKCXR62271642" hidden="1">#REF!</definedName>
    <definedName name="PKCXR62271733" hidden="1">#REF!</definedName>
    <definedName name="PKCXR62271787" hidden="1">#REF!</definedName>
    <definedName name="PKCXR62271876" hidden="1">#REF!</definedName>
    <definedName name="PKCXR62271880" hidden="1">#REF!</definedName>
    <definedName name="PKCXR62271988" hidden="1">#REF!</definedName>
    <definedName name="PKCXR62765266" hidden="1">#REF!</definedName>
    <definedName name="PKCXR62765621" hidden="1">#REF!</definedName>
    <definedName name="PKCXR62765758" hidden="1">#REF!</definedName>
    <definedName name="PKCXR62876100" hidden="1">#REF!</definedName>
    <definedName name="PKCXR63175497" hidden="1">#REF!</definedName>
    <definedName name="PKCXR63175621" hidden="1">#REF!</definedName>
    <definedName name="PKCXR63175834" hidden="1">#REF!</definedName>
    <definedName name="PKCXR63319517" hidden="1">#REF!</definedName>
    <definedName name="PKCXR63319717" hidden="1">#REF!</definedName>
    <definedName name="PKCXR6331972" hidden="1">#REF!</definedName>
    <definedName name="PKCXR63319814" hidden="1">#REF!</definedName>
    <definedName name="PKCXR63438753" hidden="1">#REF!</definedName>
    <definedName name="PKCXR6345874" hidden="1">#REF!</definedName>
    <definedName name="PKCXR64596212" hidden="1">#REF!</definedName>
    <definedName name="PKCXR64660115" hidden="1">#REF!</definedName>
    <definedName name="PKCXR64660367" hidden="1">#REF!</definedName>
    <definedName name="PKCXR64660427" hidden="1">#REF!</definedName>
    <definedName name="PKCXR64660529" hidden="1">#REF!</definedName>
    <definedName name="PKCXR64660785" hidden="1">#REF!</definedName>
    <definedName name="PKCXR64660905" hidden="1">#REF!</definedName>
    <definedName name="PKCXR64783132" hidden="1">#REF!</definedName>
    <definedName name="PKCXR64783133" hidden="1">#REF!</definedName>
    <definedName name="PKCXR64783145" hidden="1">#REF!</definedName>
    <definedName name="PKCXR64783146" hidden="1">#REF!</definedName>
    <definedName name="PKCXR64783271" hidden="1">#REF!</definedName>
    <definedName name="PKCXR64783319" hidden="1">#REF!</definedName>
    <definedName name="PKCXR64783363" hidden="1">#REF!</definedName>
    <definedName name="PKCXR64783367" hidden="1">#REF!</definedName>
    <definedName name="PKCXR64783414" hidden="1">#REF!</definedName>
    <definedName name="PKCXR64783419" hidden="1">#REF!</definedName>
    <definedName name="PKCXR6478349" hidden="1">#REF!</definedName>
    <definedName name="PKCXR64783577" hidden="1">#REF!</definedName>
    <definedName name="PKCXR64783637" hidden="1">#REF!</definedName>
    <definedName name="PKCXR64783679" hidden="1">#REF!</definedName>
    <definedName name="PKCXR64783690" hidden="1">#REF!</definedName>
    <definedName name="PKCXR64783695" hidden="1">#REF!</definedName>
    <definedName name="PKCXR64783835" hidden="1">#REF!</definedName>
    <definedName name="PKCXR64783924" hidden="1">#REF!</definedName>
    <definedName name="PKCXR64783962" hidden="1">#REF!</definedName>
    <definedName name="PKCXR65451457" hidden="1">#REF!</definedName>
    <definedName name="PKCXR65706598" hidden="1">#REF!</definedName>
    <definedName name="PKCXR6586527" hidden="1">#REF!</definedName>
    <definedName name="PKCXR67366828" hidden="1">#REF!</definedName>
    <definedName name="PKCXR67619187" hidden="1">#REF!</definedName>
    <definedName name="PKCXR6761923" hidden="1">#REF!</definedName>
    <definedName name="PKCXR67619301" hidden="1">#REF!</definedName>
    <definedName name="PKCXR67619365" hidden="1">#REF!</definedName>
    <definedName name="PKCXR67619371" hidden="1">#REF!</definedName>
    <definedName name="PKCXR67619515" hidden="1">#REF!</definedName>
    <definedName name="PKCXR67619591" hidden="1">#REF!</definedName>
    <definedName name="PKCXR6761963" hidden="1">#REF!</definedName>
    <definedName name="PKCXR67619674" hidden="1">#REF!</definedName>
    <definedName name="PKCXR67619972" hidden="1">#REF!</definedName>
    <definedName name="PKCXR67796853" hidden="1">#REF!</definedName>
    <definedName name="PKCXR67892981" hidden="1">#REF!</definedName>
    <definedName name="PKCXR68083332" hidden="1">#REF!</definedName>
    <definedName name="PKCXR68407128" hidden="1">#REF!</definedName>
    <definedName name="PKCXR69450501" hidden="1">#REF!</definedName>
    <definedName name="PKCXR69513309" hidden="1">#REF!</definedName>
    <definedName name="PKCXR69513335" hidden="1">#REF!</definedName>
    <definedName name="PKCXR69513339" hidden="1">#REF!</definedName>
    <definedName name="PKCXR69513375" hidden="1">#REF!</definedName>
    <definedName name="PKCXR69513542" hidden="1">#REF!</definedName>
    <definedName name="PKCXR69513641" hidden="1">#REF!</definedName>
    <definedName name="PKCXR69513653" hidden="1">#REF!</definedName>
    <definedName name="PKCXR69513721" hidden="1">#REF!</definedName>
    <definedName name="PKCXR69513757" hidden="1">#REF!</definedName>
    <definedName name="PKCXR69513770" hidden="1">#REF!</definedName>
    <definedName name="PKCXR69513774" hidden="1">#REF!</definedName>
    <definedName name="PKCXR69513817" hidden="1">#REF!</definedName>
    <definedName name="PKCXR69513985" hidden="1">#REF!</definedName>
    <definedName name="PKCXR69529226" hidden="1">#REF!</definedName>
    <definedName name="PKCXR69611108" hidden="1">#REF!</definedName>
    <definedName name="PKCXR70441460" hidden="1">#REF!</definedName>
    <definedName name="PKCXR70556108" hidden="1">#REF!</definedName>
    <definedName name="PKCXR70556114" hidden="1">#REF!</definedName>
    <definedName name="PKCXR7055612" hidden="1">#REF!</definedName>
    <definedName name="PKCXR70556130" hidden="1">#REF!</definedName>
    <definedName name="PKCXR70556142" hidden="1">#REF!</definedName>
    <definedName name="PKCXR70556181" hidden="1">#REF!</definedName>
    <definedName name="PKCXR70556183" hidden="1">#REF!</definedName>
    <definedName name="PKCXR70556192" hidden="1">#REF!</definedName>
    <definedName name="PKCXR70556200" hidden="1">#REF!</definedName>
    <definedName name="PKCXR70556209" hidden="1">#REF!</definedName>
    <definedName name="PKCXR70556210" hidden="1">#REF!</definedName>
    <definedName name="PKCXR70556215" hidden="1">#REF!</definedName>
    <definedName name="PKCXR70556217" hidden="1">#REF!</definedName>
    <definedName name="PKCXR70556235" hidden="1">#REF!</definedName>
    <definedName name="PKCXR70556242" hidden="1">#REF!</definedName>
    <definedName name="PKCXR70556243" hidden="1">#REF!</definedName>
    <definedName name="PKCXR7055626" hidden="1">#REF!</definedName>
    <definedName name="PKCXR70556266" hidden="1">#REF!</definedName>
    <definedName name="PKCXR70556272" hidden="1">#REF!</definedName>
    <definedName name="PKCXR70556277" hidden="1">#REF!</definedName>
    <definedName name="PKCXR70556278" hidden="1">#REF!</definedName>
    <definedName name="PKCXR70556279" hidden="1">#REF!</definedName>
    <definedName name="PKCXR70556294" hidden="1">#REF!</definedName>
    <definedName name="PKCXR70556296" hidden="1">#REF!</definedName>
    <definedName name="PKCXR70556302" hidden="1">#REF!</definedName>
    <definedName name="PKCXR70556319" hidden="1">#REF!</definedName>
    <definedName name="PKCXR70556328" hidden="1">#REF!</definedName>
    <definedName name="PKCXR7055633" hidden="1">#REF!</definedName>
    <definedName name="PKCXR70556349" hidden="1">#REF!</definedName>
    <definedName name="PKCXR7055635" hidden="1">#REF!</definedName>
    <definedName name="PKCXR70556354" hidden="1">#REF!</definedName>
    <definedName name="PKCXR70556372" hidden="1">#REF!</definedName>
    <definedName name="PKCXR70556375" hidden="1">#REF!</definedName>
    <definedName name="PKCXR70556378" hidden="1">#REF!</definedName>
    <definedName name="PKCXR70556395" hidden="1">#REF!</definedName>
    <definedName name="PKCXR7055640" hidden="1">#REF!</definedName>
    <definedName name="PKCXR70556406" hidden="1">#REF!</definedName>
    <definedName name="PKCXR70556407" hidden="1">#REF!</definedName>
    <definedName name="PKCXR70556415" hidden="1">#REF!</definedName>
    <definedName name="PKCXR70556419" hidden="1">#REF!</definedName>
    <definedName name="PKCXR70556422" hidden="1">#REF!</definedName>
    <definedName name="PKCXR70556429" hidden="1">#REF!</definedName>
    <definedName name="PKCXR70556431" hidden="1">#REF!</definedName>
    <definedName name="PKCXR70556442" hidden="1">#REF!</definedName>
    <definedName name="PKCXR70556449" hidden="1">#REF!</definedName>
    <definedName name="PKCXR7055645" hidden="1">#REF!</definedName>
    <definedName name="PKCXR70556467" hidden="1">#REF!</definedName>
    <definedName name="PKCXR70556473" hidden="1">#REF!</definedName>
    <definedName name="PKCXR70556474" hidden="1">#REF!</definedName>
    <definedName name="PKCXR7055649" hidden="1">#REF!</definedName>
    <definedName name="PKCXR70556494" hidden="1">#REF!</definedName>
    <definedName name="PKCXR70556503" hidden="1">#REF!</definedName>
    <definedName name="PKCXR70556515" hidden="1">#REF!</definedName>
    <definedName name="PKCXR70556529" hidden="1">#REF!</definedName>
    <definedName name="PKCXR70556538" hidden="1">#REF!</definedName>
    <definedName name="PKCXR70556545" hidden="1">#REF!</definedName>
    <definedName name="PKCXR70556557" hidden="1">#REF!</definedName>
    <definedName name="PKCXR7055656" hidden="1">#REF!</definedName>
    <definedName name="PKCXR70556562" hidden="1">#REF!</definedName>
    <definedName name="PKCXR7055657" hidden="1">#REF!</definedName>
    <definedName name="PKCXR70556574" hidden="1">#REF!</definedName>
    <definedName name="PKCXR70556581" hidden="1">#REF!</definedName>
    <definedName name="PKCXR70556582" hidden="1">#REF!</definedName>
    <definedName name="PKCXR70556588" hidden="1">#REF!</definedName>
    <definedName name="PKCXR7055659" hidden="1">#REF!</definedName>
    <definedName name="PKCXR70556599" hidden="1">#REF!</definedName>
    <definedName name="PKCXR7055660" hidden="1">#REF!</definedName>
    <definedName name="PKCXR70556609" hidden="1">#REF!</definedName>
    <definedName name="PKCXR70556614" hidden="1">#REF!</definedName>
    <definedName name="PKCXR70556617" hidden="1">#REF!</definedName>
    <definedName name="PKCXR70556632" hidden="1">#REF!</definedName>
    <definedName name="PKCXR70556642" hidden="1">#REF!</definedName>
    <definedName name="PKCXR70556643" hidden="1">#REF!</definedName>
    <definedName name="PKCXR7055665" hidden="1">#REF!</definedName>
    <definedName name="PKCXR70556659" hidden="1">#REF!</definedName>
    <definedName name="PKCXR7055667" hidden="1">#REF!</definedName>
    <definedName name="PKCXR70556676" hidden="1">#REF!</definedName>
    <definedName name="PKCXR70556710" hidden="1">#REF!</definedName>
    <definedName name="PKCXR70556714" hidden="1">#REF!</definedName>
    <definedName name="PKCXR70556720" hidden="1">#REF!</definedName>
    <definedName name="PKCXR7055673" hidden="1">#REF!</definedName>
    <definedName name="PKCXR70556731" hidden="1">#REF!</definedName>
    <definedName name="PKCXR70556740" hidden="1">#REF!</definedName>
    <definedName name="PKCXR70556753" hidden="1">#REF!</definedName>
    <definedName name="PKCXR70556756" hidden="1">#REF!</definedName>
    <definedName name="PKCXR70556759" hidden="1">#REF!</definedName>
    <definedName name="PKCXR7055676" hidden="1">#REF!</definedName>
    <definedName name="PKCXR70556765" hidden="1">#REF!</definedName>
    <definedName name="PKCXR7055677" hidden="1">#REF!</definedName>
    <definedName name="PKCXR70556771" hidden="1">#REF!</definedName>
    <definedName name="PKCXR70556776" hidden="1">#REF!</definedName>
    <definedName name="PKCXR70556783" hidden="1">#REF!</definedName>
    <definedName name="PKCXR70556825" hidden="1">#REF!</definedName>
    <definedName name="PKCXR70556858" hidden="1">#REF!</definedName>
    <definedName name="PKCXR70556860" hidden="1">#REF!</definedName>
    <definedName name="PKCXR70556867" hidden="1">#REF!</definedName>
    <definedName name="PKCXR70556870" hidden="1">#REF!</definedName>
    <definedName name="PKCXR70556877" hidden="1">#REF!</definedName>
    <definedName name="PKCXR7055688" hidden="1">#REF!</definedName>
    <definedName name="PKCXR70556895" hidden="1">#REF!</definedName>
    <definedName name="PKCXR70556901" hidden="1">#REF!</definedName>
    <definedName name="PKCXR70556910" hidden="1">#REF!</definedName>
    <definedName name="PKCXR70556913" hidden="1">#REF!</definedName>
    <definedName name="PKCXR70556918" hidden="1">#REF!</definedName>
    <definedName name="PKCXR70556923" hidden="1">#REF!</definedName>
    <definedName name="PKCXR70556934" hidden="1">#REF!</definedName>
    <definedName name="PKCXR7055694" hidden="1">#REF!</definedName>
    <definedName name="PKCXR70556940" hidden="1">#REF!</definedName>
    <definedName name="PKCXR70556948" hidden="1">#REF!</definedName>
    <definedName name="PKCXR70556949" hidden="1">#REF!</definedName>
    <definedName name="PKCXR70556950" hidden="1">#REF!</definedName>
    <definedName name="PKCXR70556953" hidden="1">#REF!</definedName>
    <definedName name="PKCXR70556965" hidden="1">#REF!</definedName>
    <definedName name="PKCXR70556996" hidden="1">#REF!</definedName>
    <definedName name="PKCXR70556998" hidden="1">#REF!</definedName>
    <definedName name="PKCXR70905103" hidden="1">#REF!</definedName>
    <definedName name="PKCXR70905118" hidden="1">#REF!</definedName>
    <definedName name="PKCXR70905126" hidden="1">#REF!</definedName>
    <definedName name="PKCXR70905149" hidden="1">#REF!</definedName>
    <definedName name="PKCXR70905151" hidden="1">#REF!</definedName>
    <definedName name="PKCXR70905152" hidden="1">#REF!</definedName>
    <definedName name="PKCXR70905201" hidden="1">#REF!</definedName>
    <definedName name="PKCXR70905222" hidden="1">#REF!</definedName>
    <definedName name="PKCXR70905225" hidden="1">#REF!</definedName>
    <definedName name="PKCXR70905226" hidden="1">#REF!</definedName>
    <definedName name="PKCXR70905229" hidden="1">#REF!</definedName>
    <definedName name="PKCXR70905250" hidden="1">#REF!</definedName>
    <definedName name="PKCXR70905261" hidden="1">#REF!</definedName>
    <definedName name="PKCXR70905272" hidden="1">#REF!</definedName>
    <definedName name="PKCXR70905286" hidden="1">#REF!</definedName>
    <definedName name="PKCXR70905302" hidden="1">#REF!</definedName>
    <definedName name="PKCXR70905321" hidden="1">#REF!</definedName>
    <definedName name="PKCXR70905324" hidden="1">#REF!</definedName>
    <definedName name="PKCXR70905334" hidden="1">#REF!</definedName>
    <definedName name="PKCXR70905369" hidden="1">#REF!</definedName>
    <definedName name="PKCXR7090538" hidden="1">#REF!</definedName>
    <definedName name="PKCXR70905385" hidden="1">#REF!</definedName>
    <definedName name="PKCXR70905397" hidden="1">#REF!</definedName>
    <definedName name="PKCXR70905421" hidden="1">#REF!</definedName>
    <definedName name="PKCXR70905439" hidden="1">#REF!</definedName>
    <definedName name="PKCXR70905457" hidden="1">#REF!</definedName>
    <definedName name="PKCXR70905476" hidden="1">#REF!</definedName>
    <definedName name="PKCXR70905486" hidden="1">#REF!</definedName>
    <definedName name="PKCXR70905506" hidden="1">#REF!</definedName>
    <definedName name="PKCXR70905518" hidden="1">#REF!</definedName>
    <definedName name="PKCXR70905540" hidden="1">#REF!</definedName>
    <definedName name="PKCXR70905553" hidden="1">#REF!</definedName>
    <definedName name="PKCXR70905589" hidden="1">#REF!</definedName>
    <definedName name="PKCXR70905617" hidden="1">#REF!</definedName>
    <definedName name="PKCXR70905686" hidden="1">#REF!</definedName>
    <definedName name="PKCXR70905691" hidden="1">#REF!</definedName>
    <definedName name="PKCXR70905697" hidden="1">#REF!</definedName>
    <definedName name="PKCXR70905706" hidden="1">#REF!</definedName>
    <definedName name="PKCXR70905739" hidden="1">#REF!</definedName>
    <definedName name="PKCXR70905752" hidden="1">#REF!</definedName>
    <definedName name="PKCXR70905755" hidden="1">#REF!</definedName>
    <definedName name="PKCXR70905784" hidden="1">#REF!</definedName>
    <definedName name="PKCXR70905806" hidden="1">#REF!</definedName>
    <definedName name="PKCXR70905825" hidden="1">#REF!</definedName>
    <definedName name="PKCXR70905856" hidden="1">#REF!</definedName>
    <definedName name="PKCXR70905889" hidden="1">#REF!</definedName>
    <definedName name="PKCXR70905893" hidden="1">#REF!</definedName>
    <definedName name="PKCXR70905897" hidden="1">#REF!</definedName>
    <definedName name="PKCXR70905902" hidden="1">#REF!</definedName>
    <definedName name="PKCXR7090591" hidden="1">#REF!</definedName>
    <definedName name="PKCXR70905927" hidden="1">#REF!</definedName>
    <definedName name="PKCXR70905930" hidden="1">#REF!</definedName>
    <definedName name="PKCXR7090598" hidden="1">#REF!</definedName>
    <definedName name="PKCXR70905993" hidden="1">#REF!</definedName>
    <definedName name="PKCXR70905998" hidden="1">#REF!</definedName>
    <definedName name="PKCXR71274168" hidden="1">#REF!</definedName>
    <definedName name="PKCXR71274535" hidden="1">#REF!</definedName>
    <definedName name="PKCXR71274811" hidden="1">#REF!</definedName>
    <definedName name="PKCXR71274864" hidden="1">#REF!</definedName>
    <definedName name="PKCXR7130456" hidden="1">#REF!</definedName>
    <definedName name="PKCXR71483650" hidden="1">#REF!</definedName>
    <definedName name="PKCXR73450524" hidden="1">#REF!</definedName>
    <definedName name="PKCXR7396743" hidden="1">#REF!</definedName>
    <definedName name="PKCXR74602634" hidden="1">#REF!</definedName>
    <definedName name="PKCXR7463644" hidden="1">#REF!</definedName>
    <definedName name="PKCXR74743368" hidden="1">#REF!</definedName>
    <definedName name="PKCXR7507030" hidden="1">#REF!</definedName>
    <definedName name="PKCXR75232896" hidden="1">#REF!</definedName>
    <definedName name="PKCXR75370784" hidden="1">#REF!</definedName>
    <definedName name="PKCXR75492746" hidden="1">#REF!</definedName>
    <definedName name="PKCXR75774996" hidden="1">#REF!</definedName>
    <definedName name="PKCXR76073118" hidden="1">#REF!</definedName>
    <definedName name="PKCXR76073130" hidden="1">#REF!</definedName>
    <definedName name="PKCXR76073138" hidden="1">#REF!</definedName>
    <definedName name="PKCXR76073142" hidden="1">#REF!</definedName>
    <definedName name="PKCXR76073154" hidden="1">#REF!</definedName>
    <definedName name="PKCXR7607316" hidden="1">#REF!</definedName>
    <definedName name="PKCXR76073170" hidden="1">#REF!</definedName>
    <definedName name="PKCXR76073188" hidden="1">#REF!</definedName>
    <definedName name="PKCXR76073189" hidden="1">#REF!</definedName>
    <definedName name="PKCXR76073219" hidden="1">#REF!</definedName>
    <definedName name="PKCXR76073226" hidden="1">#REF!</definedName>
    <definedName name="PKCXR76073231" hidden="1">#REF!</definedName>
    <definedName name="PKCXR76073245" hidden="1">#REF!</definedName>
    <definedName name="PKCXR76073249" hidden="1">#REF!</definedName>
    <definedName name="PKCXR76073279" hidden="1">#REF!</definedName>
    <definedName name="PKCXR76073294" hidden="1">#REF!</definedName>
    <definedName name="PKCXR76073304" hidden="1">#REF!</definedName>
    <definedName name="PKCXR76073312" hidden="1">#REF!</definedName>
    <definedName name="PKCXR76073331" hidden="1">#REF!</definedName>
    <definedName name="PKCXR76073349" hidden="1">#REF!</definedName>
    <definedName name="PKCXR76073356" hidden="1">#REF!</definedName>
    <definedName name="PKCXR76073364" hidden="1">#REF!</definedName>
    <definedName name="PKCXR76073372" hidden="1">#REF!</definedName>
    <definedName name="PKCXR76073448" hidden="1">#REF!</definedName>
    <definedName name="PKCXR76073455" hidden="1">#REF!</definedName>
    <definedName name="PKCXR76073466" hidden="1">#REF!</definedName>
    <definedName name="PKCXR76073468" hidden="1">#REF!</definedName>
    <definedName name="PKCXR76073486" hidden="1">#REF!</definedName>
    <definedName name="PKCXR76073503" hidden="1">#REF!</definedName>
    <definedName name="PKCXR76073514" hidden="1">#REF!</definedName>
    <definedName name="PKCXR76073535" hidden="1">#REF!</definedName>
    <definedName name="PKCXR7607355" hidden="1">#REF!</definedName>
    <definedName name="PKCXR76073575" hidden="1">#REF!</definedName>
    <definedName name="PKCXR76073584" hidden="1">#REF!</definedName>
    <definedName name="PKCXR76073596" hidden="1">#REF!</definedName>
    <definedName name="PKCXR76073611" hidden="1">#REF!</definedName>
    <definedName name="PKCXR76073623" hidden="1">#REF!</definedName>
    <definedName name="PKCXR7607363" hidden="1">#REF!</definedName>
    <definedName name="PKCXR76073633" hidden="1">#REF!</definedName>
    <definedName name="PKCXR76073649" hidden="1">#REF!</definedName>
    <definedName name="PKCXR76073684" hidden="1">#REF!</definedName>
    <definedName name="PKCXR76073698" hidden="1">#REF!</definedName>
    <definedName name="PKCXR76073708" hidden="1">#REF!</definedName>
    <definedName name="PKCXR7607377" hidden="1">#REF!</definedName>
    <definedName name="PKCXR76073771" hidden="1">#REF!</definedName>
    <definedName name="PKCXR76073772" hidden="1">#REF!</definedName>
    <definedName name="PKCXR76073777" hidden="1">#REF!</definedName>
    <definedName name="PKCXR76073786" hidden="1">#REF!</definedName>
    <definedName name="PKCXR76073792" hidden="1">#REF!</definedName>
    <definedName name="PKCXR76073798" hidden="1">#REF!</definedName>
    <definedName name="PKCXR76073843" hidden="1">#REF!</definedName>
    <definedName name="PKCXR76073844" hidden="1">#REF!</definedName>
    <definedName name="PKCXR76073848" hidden="1">#REF!</definedName>
    <definedName name="PKCXR76073849" hidden="1">#REF!</definedName>
    <definedName name="PKCXR76073854" hidden="1">#REF!</definedName>
    <definedName name="PKCXR76073867" hidden="1">#REF!</definedName>
    <definedName name="PKCXR76073887" hidden="1">#REF!</definedName>
    <definedName name="PKCXR7607391" hidden="1">#REF!</definedName>
    <definedName name="PKCXR76073923" hidden="1">#REF!</definedName>
    <definedName name="PKCXR76073934" hidden="1">#REF!</definedName>
    <definedName name="PKCXR76073943" hidden="1">#REF!</definedName>
    <definedName name="PKCXR76073989" hidden="1">#REF!</definedName>
    <definedName name="PKCXR7607399" hidden="1">#REF!</definedName>
    <definedName name="PKCXR76712111" hidden="1">#REF!</definedName>
    <definedName name="PKCXR76712142" hidden="1">#REF!</definedName>
    <definedName name="PKCXR76712149" hidden="1">#REF!</definedName>
    <definedName name="PKCXR76712195" hidden="1">#REF!</definedName>
    <definedName name="PKCXR76712242" hidden="1">#REF!</definedName>
    <definedName name="PKCXR76712312" hidden="1">#REF!</definedName>
    <definedName name="PKCXR76712437" hidden="1">#REF!</definedName>
    <definedName name="PKCXR76712444" hidden="1">#REF!</definedName>
    <definedName name="PKCXR76712462" hidden="1">#REF!</definedName>
    <definedName name="PKCXR76712507" hidden="1">#REF!</definedName>
    <definedName name="PKCXR76712510" hidden="1">#REF!</definedName>
    <definedName name="PKCXR76712516" hidden="1">#REF!</definedName>
    <definedName name="PKCXR7671253" hidden="1">#REF!</definedName>
    <definedName name="PKCXR76712533" hidden="1">#REF!</definedName>
    <definedName name="PKCXR76712542" hidden="1">#REF!</definedName>
    <definedName name="PKCXR76712651" hidden="1">#REF!</definedName>
    <definedName name="PKCXR76712685" hidden="1">#REF!</definedName>
    <definedName name="PKCXR76712697" hidden="1">#REF!</definedName>
    <definedName name="PKCXR76712698" hidden="1">#REF!</definedName>
    <definedName name="PKCXR76712742" hidden="1">#REF!</definedName>
    <definedName name="PKCXR76712773" hidden="1">#REF!</definedName>
    <definedName name="PKCXR76712781" hidden="1">#REF!</definedName>
    <definedName name="PKCXR76712816" hidden="1">#REF!</definedName>
    <definedName name="PKCXR76712848" hidden="1">#REF!</definedName>
    <definedName name="PKCXR7671289" hidden="1">#REF!</definedName>
    <definedName name="PKCXR76712913" hidden="1">#REF!</definedName>
    <definedName name="PKCXR76712946" hidden="1">#REF!</definedName>
    <definedName name="PKCXR76712947" hidden="1">#REF!</definedName>
    <definedName name="PKCXR76712971" hidden="1">#REF!</definedName>
    <definedName name="PKCXR77475122" hidden="1">#REF!</definedName>
    <definedName name="PKCXR77475144" hidden="1">#REF!</definedName>
    <definedName name="PKCXR77475168" hidden="1">#REF!</definedName>
    <definedName name="PKCXR77475170" hidden="1">#REF!</definedName>
    <definedName name="PKCXR77475172" hidden="1">#REF!</definedName>
    <definedName name="PKCXR77475177" hidden="1">#REF!</definedName>
    <definedName name="PKCXR77475186" hidden="1">#REF!</definedName>
    <definedName name="PKCXR77475190" hidden="1">#REF!</definedName>
    <definedName name="PKCXR77475191" hidden="1">#REF!</definedName>
    <definedName name="PKCXR77475199" hidden="1">#REF!</definedName>
    <definedName name="PKCXR77475202" hidden="1">#REF!</definedName>
    <definedName name="PKCXR7747521" hidden="1">#REF!</definedName>
    <definedName name="PKCXR77475222" hidden="1">#REF!</definedName>
    <definedName name="PKCXR77475227" hidden="1">#REF!</definedName>
    <definedName name="PKCXR77475239" hidden="1">#REF!</definedName>
    <definedName name="PKCXR7747526" hidden="1">#REF!</definedName>
    <definedName name="PKCXR77475264" hidden="1">#REF!</definedName>
    <definedName name="PKCXR77475265" hidden="1">#REF!</definedName>
    <definedName name="PKCXR77475279" hidden="1">#REF!</definedName>
    <definedName name="PKCXR77475293" hidden="1">#REF!</definedName>
    <definedName name="PKCXR77475332" hidden="1">#REF!</definedName>
    <definedName name="PKCXR77475334" hidden="1">#REF!</definedName>
    <definedName name="PKCXR77475359" hidden="1">#REF!</definedName>
    <definedName name="PKCXR77475377" hidden="1">#REF!</definedName>
    <definedName name="PKCXR77475383" hidden="1">#REF!</definedName>
    <definedName name="PKCXR77475398" hidden="1">#REF!</definedName>
    <definedName name="PKCXR77475404" hidden="1">#REF!</definedName>
    <definedName name="PKCXR7747541" hidden="1">#REF!</definedName>
    <definedName name="PKCXR7747542" hidden="1">#REF!</definedName>
    <definedName name="PKCXR77475421" hidden="1">#REF!</definedName>
    <definedName name="PKCXR7747546" hidden="1">#REF!</definedName>
    <definedName name="PKCXR77475475" hidden="1">#REF!</definedName>
    <definedName name="PKCXR77475490" hidden="1">#REF!</definedName>
    <definedName name="PKCXR774755" hidden="1">#REF!</definedName>
    <definedName name="PKCXR77475500" hidden="1">#REF!</definedName>
    <definedName name="PKCXR77475504" hidden="1">#REF!</definedName>
    <definedName name="PKCXR77475513" hidden="1">#REF!</definedName>
    <definedName name="PKCXR77475521" hidden="1">#REF!</definedName>
    <definedName name="PKCXR7747553" hidden="1">#REF!</definedName>
    <definedName name="PKCXR77475537" hidden="1">#REF!</definedName>
    <definedName name="PKCXR77475540" hidden="1">#REF!</definedName>
    <definedName name="PKCXR77475561" hidden="1">#REF!</definedName>
    <definedName name="PKCXR77475584" hidden="1">#REF!</definedName>
    <definedName name="PKCXR77475597" hidden="1">#REF!</definedName>
    <definedName name="PKCXR77475623" hidden="1">#REF!</definedName>
    <definedName name="PKCXR77475634" hidden="1">#REF!</definedName>
    <definedName name="PKCXR77475650" hidden="1">#REF!</definedName>
    <definedName name="PKCXR77475665" hidden="1">#REF!</definedName>
    <definedName name="PKCXR77475687" hidden="1">#REF!</definedName>
    <definedName name="PKCXR77475688" hidden="1">#REF!</definedName>
    <definedName name="PKCXR7747569" hidden="1">#REF!</definedName>
    <definedName name="PKCXR77475696" hidden="1">#REF!</definedName>
    <definedName name="PKCXR77475735" hidden="1">#REF!</definedName>
    <definedName name="PKCXR77475736" hidden="1">#REF!</definedName>
    <definedName name="PKCXR77475739" hidden="1">#REF!</definedName>
    <definedName name="PKCXR7747574" hidden="1">#REF!</definedName>
    <definedName name="PKCXR77475750" hidden="1">#REF!</definedName>
    <definedName name="PKCXR77475755" hidden="1">#REF!</definedName>
    <definedName name="PKCXR77475756" hidden="1">#REF!</definedName>
    <definedName name="PKCXR77475758" hidden="1">#REF!</definedName>
    <definedName name="PKCXR77475765" hidden="1">#REF!</definedName>
    <definedName name="PKCXR77475784" hidden="1">#REF!</definedName>
    <definedName name="PKCXR77475801" hidden="1">#REF!</definedName>
    <definedName name="PKCXR7747588" hidden="1">#REF!</definedName>
    <definedName name="PKCXR77475892" hidden="1">#REF!</definedName>
    <definedName name="PKCXR7747591" hidden="1">#REF!</definedName>
    <definedName name="PKCXR77475916" hidden="1">#REF!</definedName>
    <definedName name="PKCXR77475949" hidden="1">#REF!</definedName>
    <definedName name="PKCXR77475964" hidden="1">#REF!</definedName>
    <definedName name="PKCXR77475972" hidden="1">#REF!</definedName>
    <definedName name="PKCXR77475980" hidden="1">#REF!</definedName>
    <definedName name="PKCXR7769867" hidden="1">#REF!</definedName>
    <definedName name="PKCXR78215352" hidden="1">#REF!</definedName>
    <definedName name="PKCXR78401996" hidden="1">#REF!</definedName>
    <definedName name="PKCXR78522172" hidden="1">#REF!</definedName>
    <definedName name="PKCXR78522199" hidden="1">#REF!</definedName>
    <definedName name="PKCXR78522687" hidden="1">#REF!</definedName>
    <definedName name="PKCXR79014644" hidden="1">#REF!</definedName>
    <definedName name="PKCXR7904910" hidden="1">#REF!</definedName>
    <definedName name="PKCXR79049107" hidden="1">#REF!</definedName>
    <definedName name="PKCXR7904911" hidden="1">#REF!</definedName>
    <definedName name="PKCXR79049123" hidden="1">#REF!</definedName>
    <definedName name="PKCXR79049126" hidden="1">#REF!</definedName>
    <definedName name="PKCXR79049144" hidden="1">#REF!</definedName>
    <definedName name="PKCXR79049146" hidden="1">#REF!</definedName>
    <definedName name="PKCXR79049152" hidden="1">#REF!</definedName>
    <definedName name="PKCXR79049171" hidden="1">#REF!</definedName>
    <definedName name="PKCXR79049195" hidden="1">#REF!</definedName>
    <definedName name="PKCXR79049215" hidden="1">#REF!</definedName>
    <definedName name="PKCXR79049221" hidden="1">#REF!</definedName>
    <definedName name="PKCXR79049236" hidden="1">#REF!</definedName>
    <definedName name="PKCXR79049242" hidden="1">#REF!</definedName>
    <definedName name="PKCXR79049275" hidden="1">#REF!</definedName>
    <definedName name="PKCXR79049368" hidden="1">#REF!</definedName>
    <definedName name="PKCXR7904942" hidden="1">#REF!</definedName>
    <definedName name="PKCXR79049427" hidden="1">#REF!</definedName>
    <definedName name="PKCXR79049443" hidden="1">#REF!</definedName>
    <definedName name="PKCXR79049454" hidden="1">#REF!</definedName>
    <definedName name="PKCXR79049455" hidden="1">#REF!</definedName>
    <definedName name="PKCXR79049470" hidden="1">#REF!</definedName>
    <definedName name="PKCXR7904950" hidden="1">#REF!</definedName>
    <definedName name="PKCXR79049508" hidden="1">#REF!</definedName>
    <definedName name="PKCXR79049515" hidden="1">#REF!</definedName>
    <definedName name="PKCXR79049545" hidden="1">#REF!</definedName>
    <definedName name="PKCXR79049570" hidden="1">#REF!</definedName>
    <definedName name="PKCXR79049584" hidden="1">#REF!</definedName>
    <definedName name="PKCXR79049630" hidden="1">#REF!</definedName>
    <definedName name="PKCXR79049637" hidden="1">#REF!</definedName>
    <definedName name="PKCXR79049648" hidden="1">#REF!</definedName>
    <definedName name="PKCXR7904969" hidden="1">#REF!</definedName>
    <definedName name="PKCXR79049708" hidden="1">#REF!</definedName>
    <definedName name="PKCXR7904972" hidden="1">#REF!</definedName>
    <definedName name="PKCXR79049738" hidden="1">#REF!</definedName>
    <definedName name="PKCXR79049741" hidden="1">#REF!</definedName>
    <definedName name="PKCXR79049753" hidden="1">#REF!</definedName>
    <definedName name="PKCXR79049775" hidden="1">#REF!</definedName>
    <definedName name="PKCXR79049779" hidden="1">#REF!</definedName>
    <definedName name="PKCXR79049791" hidden="1">#REF!</definedName>
    <definedName name="PKCXR790499" hidden="1">#REF!</definedName>
    <definedName name="PKCXR79049922" hidden="1">#REF!</definedName>
    <definedName name="PKCXR79049929" hidden="1">#REF!</definedName>
    <definedName name="PKCXR79049942" hidden="1">#REF!</definedName>
    <definedName name="PKCXR79321502" hidden="1">#REF!</definedName>
    <definedName name="PKCXR79889144" hidden="1">#REF!</definedName>
    <definedName name="PKCXR79889198" hidden="1">#REF!</definedName>
    <definedName name="PKCXR79889362" hidden="1">#REF!</definedName>
    <definedName name="PKCXR79889404" hidden="1">#REF!</definedName>
    <definedName name="PKCXR79889417" hidden="1">#REF!</definedName>
    <definedName name="PKCXR79889517" hidden="1">#REF!</definedName>
    <definedName name="PKCXR79889526" hidden="1">#REF!</definedName>
    <definedName name="PKCXR79889658" hidden="1">#REF!</definedName>
    <definedName name="PKCXR80260695" hidden="1">#REF!</definedName>
    <definedName name="PKCXR8070390" hidden="1">#REF!</definedName>
    <definedName name="PKCXR8072121" hidden="1">#REF!</definedName>
    <definedName name="PKCXR8072726" hidden="1">#REF!</definedName>
    <definedName name="PKCXR8072879" hidden="1">#REF!</definedName>
    <definedName name="PKCXR80779548" hidden="1">#REF!</definedName>
    <definedName name="PKCXR81450105" hidden="1">#REF!</definedName>
    <definedName name="PKCXR81450114" hidden="1">#REF!</definedName>
    <definedName name="PKCXR81450128" hidden="1">#REF!</definedName>
    <definedName name="PKCXR81450147" hidden="1">#REF!</definedName>
    <definedName name="PKCXR81450165" hidden="1">#REF!</definedName>
    <definedName name="PKCXR81450173" hidden="1">#REF!</definedName>
    <definedName name="PKCXR81450182" hidden="1">#REF!</definedName>
    <definedName name="PKCXR81450193" hidden="1">#REF!</definedName>
    <definedName name="PKCXR814502" hidden="1">#REF!</definedName>
    <definedName name="PKCXR81450213" hidden="1">#REF!</definedName>
    <definedName name="PKCXR81450218" hidden="1">#REF!</definedName>
    <definedName name="PKCXR81450224" hidden="1">#REF!</definedName>
    <definedName name="PKCXR81450291" hidden="1">#REF!</definedName>
    <definedName name="PKCXR81450313" hidden="1">#REF!</definedName>
    <definedName name="PKCXR81450320" hidden="1">#REF!</definedName>
    <definedName name="PKCXR81450322" hidden="1">#REF!</definedName>
    <definedName name="PKCXR81450342" hidden="1">#REF!</definedName>
    <definedName name="PKCXR81450346" hidden="1">#REF!</definedName>
    <definedName name="PKCXR81450365" hidden="1">#REF!</definedName>
    <definedName name="PKCXR81450394" hidden="1">#REF!</definedName>
    <definedName name="PKCXR81450407" hidden="1">#REF!</definedName>
    <definedName name="PKCXR81450417" hidden="1">#REF!</definedName>
    <definedName name="PKCXR81450422" hidden="1">#REF!</definedName>
    <definedName name="PKCXR81450431" hidden="1">#REF!</definedName>
    <definedName name="PKCXR81450447" hidden="1">#REF!</definedName>
    <definedName name="PKCXR81450452" hidden="1">#REF!</definedName>
    <definedName name="PKCXR81450457" hidden="1">#REF!</definedName>
    <definedName name="PKCXR81450466" hidden="1">#REF!</definedName>
    <definedName name="PKCXR81450484" hidden="1">#REF!</definedName>
    <definedName name="PKCXR81450495" hidden="1">#REF!</definedName>
    <definedName name="PKCXR81450507" hidden="1">#REF!</definedName>
    <definedName name="PKCXR81450513" hidden="1">#REF!</definedName>
    <definedName name="PKCXR81450554" hidden="1">#REF!</definedName>
    <definedName name="PKCXR81450558" hidden="1">#REF!</definedName>
    <definedName name="PKCXR81450561" hidden="1">#REF!</definedName>
    <definedName name="PKCXR81450563" hidden="1">#REF!</definedName>
    <definedName name="PKCXR81450566" hidden="1">#REF!</definedName>
    <definedName name="PKCXR8145058" hidden="1">#REF!</definedName>
    <definedName name="PKCXR81450596" hidden="1">#REF!</definedName>
    <definedName name="PKCXR81450597" hidden="1">#REF!</definedName>
    <definedName name="PKCXR81450607" hidden="1">#REF!</definedName>
    <definedName name="PKCXR81450625" hidden="1">#REF!</definedName>
    <definedName name="PKCXR81450667" hidden="1">#REF!</definedName>
    <definedName name="PKCXR81450693" hidden="1">#REF!</definedName>
    <definedName name="PKCXR81450730" hidden="1">#REF!</definedName>
    <definedName name="PKCXR81450734" hidden="1">#REF!</definedName>
    <definedName name="PKCXR81450743" hidden="1">#REF!</definedName>
    <definedName name="PKCXR81450775" hidden="1">#REF!</definedName>
    <definedName name="PKCXR81450783" hidden="1">#REF!</definedName>
    <definedName name="PKCXR81450813" hidden="1">#REF!</definedName>
    <definedName name="PKCXR81450816" hidden="1">#REF!</definedName>
    <definedName name="PKCXR81450822" hidden="1">#REF!</definedName>
    <definedName name="PKCXR81450841" hidden="1">#REF!</definedName>
    <definedName name="PKCXR81450843" hidden="1">#REF!</definedName>
    <definedName name="PKCXR81450847" hidden="1">#REF!</definedName>
    <definedName name="PKCXR81450923" hidden="1">#REF!</definedName>
    <definedName name="PKCXR81450950" hidden="1">#REF!</definedName>
    <definedName name="PKCXR81450963" hidden="1">#REF!</definedName>
    <definedName name="PKCXR81450985" hidden="1">#REF!</definedName>
    <definedName name="PKCXR81450990" hidden="1">#REF!</definedName>
    <definedName name="PKCXR81467869" hidden="1">#REF!</definedName>
    <definedName name="PKCXR8190611" hidden="1">#REF!</definedName>
    <definedName name="PKCXR82461156" hidden="1">#REF!</definedName>
    <definedName name="PKCXR82461158" hidden="1">#REF!</definedName>
    <definedName name="PKCXR82461184" hidden="1">#REF!</definedName>
    <definedName name="PKCXR82461285" hidden="1">#REF!</definedName>
    <definedName name="PKCXR82461291" hidden="1">#REF!</definedName>
    <definedName name="PKCXR82461346" hidden="1">#REF!</definedName>
    <definedName name="PKCXR82461464" hidden="1">#REF!</definedName>
    <definedName name="PKCXR82461533" hidden="1">#REF!</definedName>
    <definedName name="PKCXR82461562" hidden="1">#REF!</definedName>
    <definedName name="PKCXR82461595" hidden="1">#REF!</definedName>
    <definedName name="PKCXR82461613" hidden="1">#REF!</definedName>
    <definedName name="PKCXR82461788" hidden="1">#REF!</definedName>
    <definedName name="PKCXR824619" hidden="1">#REF!</definedName>
    <definedName name="PKCXR82461907" hidden="1">#REF!</definedName>
    <definedName name="PKCXR82461991" hidden="1">#REF!</definedName>
    <definedName name="PKCXR82461997" hidden="1">#REF!</definedName>
    <definedName name="PKCXR82742522" hidden="1">#REF!</definedName>
    <definedName name="PKCXR82981243" hidden="1">#REF!</definedName>
    <definedName name="PKCXR82981265" hidden="1">#REF!</definedName>
    <definedName name="PKCXR8298129" hidden="1">#REF!</definedName>
    <definedName name="PKCXR82981321" hidden="1">#REF!</definedName>
    <definedName name="PKCXR82981432" hidden="1">#REF!</definedName>
    <definedName name="PKCXR82981453" hidden="1">#REF!</definedName>
    <definedName name="PKCXR82981488" hidden="1">#REF!</definedName>
    <definedName name="PKCXR8298161" hidden="1">#REF!</definedName>
    <definedName name="PKCXR82981699" hidden="1">#REF!</definedName>
    <definedName name="PKCXR829817" hidden="1">#REF!</definedName>
    <definedName name="PKCXR82981701" hidden="1">#REF!</definedName>
    <definedName name="PKCXR82981711" hidden="1">#REF!</definedName>
    <definedName name="PKCXR82981714" hidden="1">#REF!</definedName>
    <definedName name="PKCXR82981734" hidden="1">#REF!</definedName>
    <definedName name="PKCXR82981765" hidden="1">#REF!</definedName>
    <definedName name="PKCXR82981829" hidden="1">#REF!</definedName>
    <definedName name="PKCXR82981853" hidden="1">#REF!</definedName>
    <definedName name="PKCXR82981985" hidden="1">#REF!</definedName>
    <definedName name="PKCXR83274300" hidden="1">#REF!</definedName>
    <definedName name="PKCXR83483619" hidden="1">#REF!</definedName>
    <definedName name="PKCXR86263116" hidden="1">#REF!</definedName>
    <definedName name="PKCXR86263129" hidden="1">#REF!</definedName>
    <definedName name="PKCXR86263143" hidden="1">#REF!</definedName>
    <definedName name="PKCXR86263146" hidden="1">#REF!</definedName>
    <definedName name="PKCXR86263148" hidden="1">#REF!</definedName>
    <definedName name="PKCXR86263162" hidden="1">#REF!</definedName>
    <definedName name="PKCXR86263174" hidden="1">#REF!</definedName>
    <definedName name="PKCXR86263175" hidden="1">#REF!</definedName>
    <definedName name="PKCXR86263203" hidden="1">#REF!</definedName>
    <definedName name="PKCXR86263207" hidden="1">#REF!</definedName>
    <definedName name="PKCXR86263210" hidden="1">#REF!</definedName>
    <definedName name="PKCXR86263258" hidden="1">#REF!</definedName>
    <definedName name="PKCXR86263280" hidden="1">#REF!</definedName>
    <definedName name="PKCXR86263309" hidden="1">#REF!</definedName>
    <definedName name="PKCXR86263311" hidden="1">#REF!</definedName>
    <definedName name="PKCXR86263371" hidden="1">#REF!</definedName>
    <definedName name="PKCXR86263377" hidden="1">#REF!</definedName>
    <definedName name="PKCXR86263419" hidden="1">#REF!</definedName>
    <definedName name="PKCXR86263516" hidden="1">#REF!</definedName>
    <definedName name="PKCXR86263518" hidden="1">#REF!</definedName>
    <definedName name="PKCXR86263534" hidden="1">#REF!</definedName>
    <definedName name="PKCXR86263548" hidden="1">#REF!</definedName>
    <definedName name="PKCXR86263572" hidden="1">#REF!</definedName>
    <definedName name="PKCXR86263639" hidden="1">#REF!</definedName>
    <definedName name="PKCXR86263647" hidden="1">#REF!</definedName>
    <definedName name="PKCXR86263654" hidden="1">#REF!</definedName>
    <definedName name="PKCXR86263675" hidden="1">#REF!</definedName>
    <definedName name="PKCXR86263688" hidden="1">#REF!</definedName>
    <definedName name="PKCXR86263698" hidden="1">#REF!</definedName>
    <definedName name="PKCXR86263717" hidden="1">#REF!</definedName>
    <definedName name="PKCXR8626372" hidden="1">#REF!</definedName>
    <definedName name="PKCXR86263772" hidden="1">#REF!</definedName>
    <definedName name="PKCXR86263775" hidden="1">#REF!</definedName>
    <definedName name="PKCXR86263781" hidden="1">#REF!</definedName>
    <definedName name="PKCXR86263816" hidden="1">#REF!</definedName>
    <definedName name="PKCXR86263839" hidden="1">#REF!</definedName>
    <definedName name="PKCXR86263910" hidden="1">#REF!</definedName>
    <definedName name="PKCXR86263930" hidden="1">#REF!</definedName>
    <definedName name="PKCXR8626396" hidden="1">#REF!</definedName>
    <definedName name="PKCXR86263967" hidden="1">#REF!</definedName>
    <definedName name="PKCXR86263972" hidden="1">#REF!</definedName>
    <definedName name="PKCXR86263994" hidden="1">#REF!</definedName>
    <definedName name="PKCXR86454605" hidden="1">#REF!</definedName>
    <definedName name="PKCXR87146126" hidden="1">#REF!</definedName>
    <definedName name="PKCXR87146158" hidden="1">#REF!</definedName>
    <definedName name="PKCXR87146167" hidden="1">#REF!</definedName>
    <definedName name="PKCXR87146181" hidden="1">#REF!</definedName>
    <definedName name="PKCXR87146229" hidden="1">#REF!</definedName>
    <definedName name="PKCXR87146296" hidden="1">#REF!</definedName>
    <definedName name="PKCXR87146329" hidden="1">#REF!</definedName>
    <definedName name="PKCXR87146358" hidden="1">#REF!</definedName>
    <definedName name="PKCXR87146373" hidden="1">#REF!</definedName>
    <definedName name="PKCXR87146376" hidden="1">#REF!</definedName>
    <definedName name="PKCXR87146416" hidden="1">#REF!</definedName>
    <definedName name="PKCXR87146420" hidden="1">#REF!</definedName>
    <definedName name="PKCXR87146428" hidden="1">#REF!</definedName>
    <definedName name="PKCXR87146431" hidden="1">#REF!</definedName>
    <definedName name="PKCXR87146443" hidden="1">#REF!</definedName>
    <definedName name="PKCXR87146450" hidden="1">#REF!</definedName>
    <definedName name="PKCXR87146499" hidden="1">#REF!</definedName>
    <definedName name="PKCXR87146501" hidden="1">#REF!</definedName>
    <definedName name="PKCXR87146507" hidden="1">#REF!</definedName>
    <definedName name="PKCXR87146590" hidden="1">#REF!</definedName>
    <definedName name="PKCXR87146650" hidden="1">#REF!</definedName>
    <definedName name="PKCXR87146666" hidden="1">#REF!</definedName>
    <definedName name="PKCXR87146720" hidden="1">#REF!</definedName>
    <definedName name="PKCXR87146739" hidden="1">#REF!</definedName>
    <definedName name="PKCXR87146742" hidden="1">#REF!</definedName>
    <definedName name="PKCXR87146767" hidden="1">#REF!</definedName>
    <definedName name="PKCXR87146784" hidden="1">#REF!</definedName>
    <definedName name="PKCXR87146789" hidden="1">#REF!</definedName>
    <definedName name="PKCXR87146821" hidden="1">#REF!</definedName>
    <definedName name="PKCXR87146865" hidden="1">#REF!</definedName>
    <definedName name="PKCXR87146934" hidden="1">#REF!</definedName>
    <definedName name="PKCXR87146944" hidden="1">#REF!</definedName>
    <definedName name="PKCXR87146956" hidden="1">#REF!</definedName>
    <definedName name="PKCXR87146997" hidden="1">#REF!</definedName>
    <definedName name="PKCXR87256667" hidden="1">#REF!</definedName>
    <definedName name="PKCXR87598637" hidden="1">#REF!</definedName>
    <definedName name="PKCXR8857889" hidden="1">#REF!</definedName>
    <definedName name="PKCXR88661414" hidden="1">#REF!</definedName>
    <definedName name="PKCXR896588" hidden="1">#REF!</definedName>
    <definedName name="PKCXR8991950" hidden="1">#REF!</definedName>
    <definedName name="PKCXR9031188" hidden="1">#REF!</definedName>
    <definedName name="PKCXR90574189" hidden="1">#REF!</definedName>
    <definedName name="PKCXR9057442" hidden="1">#REF!</definedName>
    <definedName name="PKCXR90574746" hidden="1">#REF!</definedName>
    <definedName name="PKCXR91097107" hidden="1">#REF!</definedName>
    <definedName name="PKCXR91097318" hidden="1">#REF!</definedName>
    <definedName name="PKCXR91097362" hidden="1">#REF!</definedName>
    <definedName name="PKCXR9109739" hidden="1">#REF!</definedName>
    <definedName name="PKCXR91097446" hidden="1">#REF!</definedName>
    <definedName name="PKCXR91097484" hidden="1">#REF!</definedName>
    <definedName name="PKCXR91097515" hidden="1">#REF!</definedName>
    <definedName name="PKCXR91097573" hidden="1">#REF!</definedName>
    <definedName name="PKCXR91097627" hidden="1">#REF!</definedName>
    <definedName name="PKCXR91097629" hidden="1">#REF!</definedName>
    <definedName name="PKCXR9109765" hidden="1">#REF!</definedName>
    <definedName name="PKCXR91097681" hidden="1">#REF!</definedName>
    <definedName name="PKCXR91097725" hidden="1">#REF!</definedName>
    <definedName name="PKCXR91097759" hidden="1">#REF!</definedName>
    <definedName name="PKCXR91097867" hidden="1">#REF!</definedName>
    <definedName name="PKCXR91097890" hidden="1">#REF!</definedName>
    <definedName name="PKCXR91373812" hidden="1">#REF!</definedName>
    <definedName name="PKCXR9161712" hidden="1">#REF!</definedName>
    <definedName name="PKCXR91939303" hidden="1">#REF!</definedName>
    <definedName name="PKCXR91939341" hidden="1">#REF!</definedName>
    <definedName name="PKCXR91939464" hidden="1">#REF!</definedName>
    <definedName name="PKCXR92346885" hidden="1">#REF!</definedName>
    <definedName name="PKCXR92763661" hidden="1">#REF!</definedName>
    <definedName name="PKCXR92789511" hidden="1">#REF!</definedName>
    <definedName name="PKCXR9288087" hidden="1">#REF!</definedName>
    <definedName name="PKCXR93856863" hidden="1">#REF!</definedName>
    <definedName name="PKCXR94498806" hidden="1">#REF!</definedName>
    <definedName name="PKCXR94858151" hidden="1">#REF!</definedName>
    <definedName name="PKCXR94858181" hidden="1">#REF!</definedName>
    <definedName name="PKCXR9485844" hidden="1">#REF!</definedName>
    <definedName name="PKCXR94858753" hidden="1">#REF!</definedName>
    <definedName name="PKCXR94858764" hidden="1">#REF!</definedName>
    <definedName name="PKCXR94858825" hidden="1">#REF!</definedName>
    <definedName name="PKCXR94957124" hidden="1">#REF!</definedName>
    <definedName name="PKCXR94957178" hidden="1">#REF!</definedName>
    <definedName name="PKCXR94957197" hidden="1">#REF!</definedName>
    <definedName name="PKCXR94957218" hidden="1">#REF!</definedName>
    <definedName name="PKCXR94957219" hidden="1">#REF!</definedName>
    <definedName name="PKCXR94957325" hidden="1">#REF!</definedName>
    <definedName name="PKCXR9495736" hidden="1">#REF!</definedName>
    <definedName name="PKCXR94957393" hidden="1">#REF!</definedName>
    <definedName name="PKCXR94957415" hidden="1">#REF!</definedName>
    <definedName name="PKCXR94957505" hidden="1">#REF!</definedName>
    <definedName name="PKCXR94957536" hidden="1">#REF!</definedName>
    <definedName name="PKCXR94957546" hidden="1">#REF!</definedName>
    <definedName name="PKCXR94957550" hidden="1">#REF!</definedName>
    <definedName name="PKCXR94957626" hidden="1">#REF!</definedName>
    <definedName name="PKCXR94957631" hidden="1">#REF!</definedName>
    <definedName name="PKCXR94957635" hidden="1">#REF!</definedName>
    <definedName name="PKCXR94957641" hidden="1">#REF!</definedName>
    <definedName name="PKCXR94957658" hidden="1">#REF!</definedName>
    <definedName name="PKCXR94957693" hidden="1">#REF!</definedName>
    <definedName name="PKCXR94957745" hidden="1">#REF!</definedName>
    <definedName name="PKCXR94957766" hidden="1">#REF!</definedName>
    <definedName name="PKCXR94957785" hidden="1">#REF!</definedName>
    <definedName name="PKCXR9495780" hidden="1">#REF!</definedName>
    <definedName name="PKCXR94957803" hidden="1">#REF!</definedName>
    <definedName name="PKCXR94957829" hidden="1">#REF!</definedName>
    <definedName name="PKCXR94957844" hidden="1">#REF!</definedName>
    <definedName name="PKCXR949579" hidden="1">#REF!</definedName>
    <definedName name="PKCXR94957909" hidden="1">#REF!</definedName>
    <definedName name="PKCXR94957921" hidden="1">#REF!</definedName>
    <definedName name="PKCXR94957922" hidden="1">#REF!</definedName>
    <definedName name="PKCXR94957927" hidden="1">#REF!</definedName>
    <definedName name="PKCXR94957930" hidden="1">#REF!</definedName>
    <definedName name="PKCXR9495796" hidden="1">#REF!</definedName>
    <definedName name="PKCXR9544461" hidden="1">#REF!</definedName>
    <definedName name="PKCXR95677540" hidden="1">#REF!</definedName>
    <definedName name="PKCXR95928318" hidden="1">#REF!</definedName>
    <definedName name="PKCXR96043474" hidden="1">#REF!</definedName>
    <definedName name="PKCXR96196162" hidden="1">#REF!</definedName>
    <definedName name="PKCXR96196172" hidden="1">#REF!</definedName>
    <definedName name="PKCXR96196177" hidden="1">#REF!</definedName>
    <definedName name="PKCXR9619618" hidden="1">#REF!</definedName>
    <definedName name="PKCXR96196186" hidden="1">#REF!</definedName>
    <definedName name="PKCXR96196204" hidden="1">#REF!</definedName>
    <definedName name="PKCXR96196219" hidden="1">#REF!</definedName>
    <definedName name="PKCXR96196244" hidden="1">#REF!</definedName>
    <definedName name="PKCXR96196252" hidden="1">#REF!</definedName>
    <definedName name="PKCXR96196296" hidden="1">#REF!</definedName>
    <definedName name="PKCXR96196304" hidden="1">#REF!</definedName>
    <definedName name="PKCXR96196318" hidden="1">#REF!</definedName>
    <definedName name="PKCXR96196369" hidden="1">#REF!</definedName>
    <definedName name="PKCXR96196370" hidden="1">#REF!</definedName>
    <definedName name="PKCXR96196380" hidden="1">#REF!</definedName>
    <definedName name="PKCXR9619640" hidden="1">#REF!</definedName>
    <definedName name="PKCXR96196458" hidden="1">#REF!</definedName>
    <definedName name="PKCXR96196476" hidden="1">#REF!</definedName>
    <definedName name="PKCXR96196501" hidden="1">#REF!</definedName>
    <definedName name="PKCXR96196536" hidden="1">#REF!</definedName>
    <definedName name="PKCXR96196538" hidden="1">#REF!</definedName>
    <definedName name="PKCXR96196564" hidden="1">#REF!</definedName>
    <definedName name="PKCXR96196578" hidden="1">#REF!</definedName>
    <definedName name="PKCXR96196604" hidden="1">#REF!</definedName>
    <definedName name="PKCXR96196663" hidden="1">#REF!</definedName>
    <definedName name="PKCXR96196671" hidden="1">#REF!</definedName>
    <definedName name="PKCXR96196695" hidden="1">#REF!</definedName>
    <definedName name="PKCXR9619670" hidden="1">#REF!</definedName>
    <definedName name="PKCXR96196707" hidden="1">#REF!</definedName>
    <definedName name="PKCXR96196716" hidden="1">#REF!</definedName>
    <definedName name="PKCXR96196726" hidden="1">#REF!</definedName>
    <definedName name="PKCXR96196730" hidden="1">#REF!</definedName>
    <definedName name="PKCXR96196736" hidden="1">#REF!</definedName>
    <definedName name="PKCXR9619678" hidden="1">#REF!</definedName>
    <definedName name="PKCXR96196784" hidden="1">#REF!</definedName>
    <definedName name="PKCXR96196793" hidden="1">#REF!</definedName>
    <definedName name="PKCXR96196796" hidden="1">#REF!</definedName>
    <definedName name="PKCXR96196820" hidden="1">#REF!</definedName>
    <definedName name="PKCXR96196822" hidden="1">#REF!</definedName>
    <definedName name="PKCXR96196901" hidden="1">#REF!</definedName>
    <definedName name="PKCXR96196934" hidden="1">#REF!</definedName>
    <definedName name="PKCXR96196957" hidden="1">#REF!</definedName>
    <definedName name="PKCXR97909635" hidden="1">#REF!</definedName>
    <definedName name="PKCXR979418" hidden="1">#REF!</definedName>
    <definedName name="PKCXR97984281" hidden="1">#REF!</definedName>
    <definedName name="PKCXR97984307" hidden="1">#REF!</definedName>
    <definedName name="PKCXR97984456" hidden="1">#REF!</definedName>
    <definedName name="PKCXR97984506" hidden="1">#REF!</definedName>
    <definedName name="PKCXR97984686" hidden="1">#REF!</definedName>
    <definedName name="PKCXR97984946" hidden="1">#REF!</definedName>
    <definedName name="PKCXR9798983" hidden="1">#REF!</definedName>
    <definedName name="PKCXR98001206" hidden="1">#REF!</definedName>
    <definedName name="PKCXR98001305" hidden="1">#REF!</definedName>
    <definedName name="PKCXR98001307" hidden="1">#REF!</definedName>
    <definedName name="PKCXR9800136" hidden="1">#REF!</definedName>
    <definedName name="PKCXR98001516" hidden="1">#REF!</definedName>
    <definedName name="PKCXR98001565" hidden="1">#REF!</definedName>
    <definedName name="PKCXR98001610" hidden="1">#REF!</definedName>
    <definedName name="PKCXR98001675" hidden="1">#REF!</definedName>
    <definedName name="PKCXR98001777" hidden="1">#REF!</definedName>
    <definedName name="PKCXR98001796" hidden="1">#REF!</definedName>
    <definedName name="PKCXR98001944" hidden="1">#REF!</definedName>
    <definedName name="PKCXR98538599" hidden="1">#REF!</definedName>
    <definedName name="PKCXR98610120" hidden="1">#REF!</definedName>
    <definedName name="PKCXR98610126" hidden="1">#REF!</definedName>
    <definedName name="PKCXR98610132" hidden="1">#REF!</definedName>
    <definedName name="PKCXR98610143" hidden="1">#REF!</definedName>
    <definedName name="PKCXR98610175" hidden="1">#REF!</definedName>
    <definedName name="PKCXR98610250" hidden="1">#REF!</definedName>
    <definedName name="PKCXR98610271" hidden="1">#REF!</definedName>
    <definedName name="PKCXR98610308" hidden="1">#REF!</definedName>
    <definedName name="PKCXR98610460" hidden="1">#REF!</definedName>
    <definedName name="PKCXR98610468" hidden="1">#REF!</definedName>
    <definedName name="PKCXR98610580" hidden="1">#REF!</definedName>
    <definedName name="PKCXR98610675" hidden="1">#REF!</definedName>
    <definedName name="PKCXR98610705" hidden="1">#REF!</definedName>
    <definedName name="PKCXR98610775" hidden="1">#REF!</definedName>
    <definedName name="PKCXR98610854" hidden="1">#REF!</definedName>
    <definedName name="PKCXR98610980" hidden="1">#REF!</definedName>
    <definedName name="PKCXR99942274" hidden="1">#REF!</definedName>
    <definedName name="PKCXR99942479" hidden="1">#REF!</definedName>
    <definedName name="PKCXR99942638" hidden="1">#REF!</definedName>
    <definedName name="PKCXR99942695" hidden="1">#REF!</definedName>
    <definedName name="PKCXR99942705" hidden="1">#REF!</definedName>
    <definedName name="PKCXR99942770" hidden="1">#REF!</definedName>
    <definedName name="PKCXR99942859" hidden="1">#REF!</definedName>
    <definedName name="PKCXR9994286" hidden="1">#REF!</definedName>
    <definedName name="PKCXR99942876" hidden="1">#REF!</definedName>
    <definedName name="q" hidden="1">#REF!-1 &amp; "." &amp; MAX(1,COUNTA(INDEX(#REF!,MATCH(#REF!-1,#REF!,FALSE)):#REF!))</definedName>
    <definedName name="qaxds" hidden="1">#REF!</definedName>
    <definedName name="qaz" hidden="1">#REF!</definedName>
    <definedName name="qwe" hidden="1">#REF!-1 &amp; "." &amp; MAX(1,COUNTA(INDEX(#REF!,MATCH(#REF!-1,#REF!,FALSE)):#REF!))</definedName>
    <definedName name="rty" hidden="1">#REF!-1 &amp; "." &amp; MAX(1,COUNTA(INDEX(#REF!,MATCH(#REF!-1,#REF!,FALSE)):#REF!))</definedName>
    <definedName name="rtyu" hidden="1">#REF!</definedName>
    <definedName name="s" hidden="1">#REF!-1 &amp; "." &amp; MAX(1,COUNTA(INDEX(#REF!,MATCH(#REF!-1,#REF!,FALSE)):#REF!))</definedName>
    <definedName name="SAPBEXhrIndnt" hidden="1">"Wide"</definedName>
    <definedName name="SAPsysID" hidden="1">"708C5W7SBKP804JT78WJ0JNKI"</definedName>
    <definedName name="SAPwbID" hidden="1">"ARS"</definedName>
    <definedName name="sencount" localSheetId="11" hidden="1">2</definedName>
    <definedName name="sencount" hidden="1">1</definedName>
    <definedName name="SheetState" hidden="1">"'2:2:2:2:2:2"</definedName>
    <definedName name="SID" hidden="1">"Cpavan"</definedName>
    <definedName name="solver_lin" hidden="1">0</definedName>
    <definedName name="solver_num" hidden="1">0</definedName>
    <definedName name="solver_typ" hidden="1">3</definedName>
    <definedName name="solver_val" hidden="1">0</definedName>
    <definedName name="SPWD" hidden="1">"pepsico"</definedName>
    <definedName name="ss" hidden="1">#REF!</definedName>
    <definedName name="ssa" hidden="1">#REF!</definedName>
    <definedName name="T" hidden="1">#REF!-1 &amp; "." &amp; MAX(1,COUNTA(INDEX(#REF!,MATCH(#REF!-1,#REF!,FALSE)):#REF!))</definedName>
    <definedName name="ToolDeveloper" hidden="1">"Martin Brett"</definedName>
    <definedName name="ToolID" hidden="1">303</definedName>
    <definedName name="ToolUpdateDate" hidden="1">"'09/04/2012"</definedName>
    <definedName name="ToolVersion" hidden="1">"ACE DesignTools v0006"</definedName>
    <definedName name="uhunkm" hidden="1">#REF!</definedName>
    <definedName name="vbn" hidden="1">#REF!</definedName>
    <definedName name="wrn.all." localSheetId="13" hidden="1">{#N/A,#N/A,FALSE,"Summary";#N/A,#N/A,FALSE,"CHWP VFD";#N/A,#N/A,FALSE,"AC 6 VFD";#N/A,#N/A,FALSE,"HWP VFD";#N/A,#N/A,FALSE,"Motors";#N/A,#N/A,FALSE,"Kitchen";#N/A,#N/A,FALSE,"DHW HTR";#N/A,#N/A,FALSE,"Lightcool";#N/A,#N/A,FALSE,"evap";#N/A,#N/A,FALSE,"TOD";#N/A,#N/A,FALSE,"kitcheqpt"}</definedName>
    <definedName name="wrn.all." localSheetId="4" hidden="1">{#N/A,#N/A,FALSE,"Summary";#N/A,#N/A,FALSE,"CHWP VFD";#N/A,#N/A,FALSE,"AC 6 VFD";#N/A,#N/A,FALSE,"HWP VFD";#N/A,#N/A,FALSE,"Motors";#N/A,#N/A,FALSE,"Kitchen";#N/A,#N/A,FALSE,"DHW HTR";#N/A,#N/A,FALSE,"Lightcool";#N/A,#N/A,FALSE,"evap";#N/A,#N/A,FALSE,"TOD";#N/A,#N/A,FALSE,"kitcheqpt"}</definedName>
    <definedName name="wrn.All." localSheetId="11" hidden="1">{"Adjustable_Costs",#N/A,FALSE,"FIM SHEET";"Savings",#N/A,FALSE,"FIM SHEET";"Base_year",#N/A,FALSE,"FIM SHEET";"Customer",#N/A,FALSE,"FIM SHEET";"FixedCosts",#N/A,FALSE,"FIM SHEET";"MU",#N/A,FALSE,"FIM SHEET";"PassThru_Pre_entered",#N/A,FALSE,"FIM SHEET";#N/A,#N/A,FALSE,"Cash Flow";#N/A,#N/A,FALSE,"EST-SUM"}</definedName>
    <definedName name="wrn.all." hidden="1">{#N/A,#N/A,FALSE,"Summary";#N/A,#N/A,FALSE,"CHWP VFD";#N/A,#N/A,FALSE,"AC 6 VFD";#N/A,#N/A,FALSE,"HWP VFD";#N/A,#N/A,FALSE,"Motors";#N/A,#N/A,FALSE,"Kitchen";#N/A,#N/A,FALSE,"DHW HTR";#N/A,#N/A,FALSE,"Lightcool";#N/A,#N/A,FALSE,"evap";#N/A,#N/A,FALSE,"TOD";#N/A,#N/A,FALSE,"kitcheqpt"}</definedName>
    <definedName name="wrn.ALL._.SHEETS." localSheetId="13" hidden="1">{#N/A,#N/A,TRUE,"Summary";#N/A,#N/A,TRUE,"1 Westlakes";#N/A,#N/A,TRUE,"3 Westlakes";#N/A,#N/A,TRUE,"5 Westlakes";#N/A,#N/A,TRUE,"Legend";#N/A,#N/A,TRUE,"Utility"}</definedName>
    <definedName name="wrn.ALL._.SHEETS." localSheetId="4" hidden="1">{#N/A,#N/A,TRUE,"Summary";#N/A,#N/A,TRUE,"1 Westlakes";#N/A,#N/A,TRUE,"3 Westlakes";#N/A,#N/A,TRUE,"5 Westlakes";#N/A,#N/A,TRUE,"Legend";#N/A,#N/A,TRUE,"Utility"}</definedName>
    <definedName name="wrn.ALL._.SHEETS." hidden="1">{#N/A,#N/A,TRUE,"Summary";#N/A,#N/A,TRUE,"1 Westlakes";#N/A,#N/A,TRUE,"3 Westlakes";#N/A,#N/A,TRUE,"5 Westlakes";#N/A,#N/A,TRUE,"Legend";#N/A,#N/A,TRUE,"Utility"}</definedName>
    <definedName name="wrn.ffthosp." localSheetId="13" hidden="1">{"hostelec",#N/A,FALSE,"Billing";"nhelec",#N/A,FALSE,"Billing";"sitelec",#N/A,FALSE,"Billing";"Service",#N/A,FALSE,"Misc."}</definedName>
    <definedName name="wrn.ffthosp." localSheetId="4" hidden="1">{"hostelec",#N/A,FALSE,"Billing";"nhelec",#N/A,FALSE,"Billing";"sitelec",#N/A,FALSE,"Billing";"Service",#N/A,FALSE,"Misc."}</definedName>
    <definedName name="wrn.ffthosp." hidden="1">{"hostelec",#N/A,FALSE,"Billing";"nhelec",#N/A,FALSE,"Billing";"sitelec",#N/A,FALSE,"Billing";"Service",#N/A,FALSE,"Misc."}</definedName>
    <definedName name="wrn.Print._.Package." hidden="1">{#N/A,#N/A,FALSE,"COBO";#N/A,#N/A,FALSE,"Atlantic";#N/A,#N/A,FALSE,"NCalif";#N/A,#N/A,FALSE,"SCalif";#N/A,#N/A,FALSE,"Eastern";#N/A,#N/A,FALSE,"Florida";#N/A,#N/A,FALSE,"GreatWest";#N/A,#N/A,FALSE,"Heartland";#N/A,#N/A,FALSE,"Michigan";#N/A,#N/A,FALSE,"Northwest";#N/A,#N/A,FALSE,"Southeast";#N/A,#N/A,FALSE,"Texoma"}</definedName>
    <definedName name="wrn.Qtr._.1." hidden="1">{"Show Qtr 1",#N/A,FALSE,"Compiled Expenses"}</definedName>
    <definedName name="wrn.Qtr._.2." hidden="1">{"Show Qtr 2",#N/A,FALSE,"Compiled Expenses"}</definedName>
    <definedName name="wrn.Qtr._.3." hidden="1">{"Show Qtr 3",#N/A,FALSE,"Compiled Expenses"}</definedName>
    <definedName name="wrn.Qtr._.4." hidden="1">{"Show Qtr 4",#N/A,FALSE,"Compiled Expenses"}</definedName>
    <definedName name="wrn.YTD._.Spend." hidden="1">{"YTD Spend",#N/A,FALSE,"Compiled Expenses"}</definedName>
    <definedName name="XS" hidden="1">#REF!</definedName>
    <definedName name="xyz" hidden="1">#REF!</definedName>
    <definedName name="yjjj" hidden="1">#REF!</definedName>
    <definedName name="yugyu" hidden="1">#REF!</definedName>
    <definedName name="zxcv"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<sst xmlns="http://schemas.openxmlformats.org/spreadsheetml/2006/main" count="24758" uniqueCount="1616">
  <si>
    <t>S.N</t>
  </si>
  <si>
    <t>Description</t>
  </si>
  <si>
    <t>Yes</t>
  </si>
  <si>
    <t>No</t>
  </si>
  <si>
    <t>Surveyed Unit Description</t>
  </si>
  <si>
    <t>Building Name</t>
  </si>
  <si>
    <t>Location</t>
  </si>
  <si>
    <t>Operating hours refrence</t>
  </si>
  <si>
    <t>#</t>
  </si>
  <si>
    <t>أيام العمل الفعلية أسبوعياً
/Working days per week</t>
  </si>
  <si>
    <t>عدد الاسابيع في السنة
/Weeks per year</t>
  </si>
  <si>
    <t>التشغيل / سنة
/Operating hours per year</t>
  </si>
  <si>
    <t xml:space="preserve">Combined Value </t>
  </si>
  <si>
    <t>EFLH</t>
  </si>
  <si>
    <t xml:space="preserve">Operating hours
 ( End time) </t>
  </si>
  <si>
    <t xml:space="preserve">Operating hours
 (Start time) </t>
  </si>
  <si>
    <t>City</t>
  </si>
  <si>
    <t>Facility Location</t>
  </si>
  <si>
    <t>Entity Name</t>
  </si>
  <si>
    <t>Space type</t>
  </si>
  <si>
    <t>Time</t>
  </si>
  <si>
    <t/>
  </si>
  <si>
    <t/>
  </si>
  <si>
    <t/>
  </si>
  <si>
    <t/>
  </si>
  <si>
    <t/>
  </si>
  <si>
    <t/>
  </si>
  <si>
    <t/>
  </si>
  <si>
    <t/>
  </si>
  <si>
    <t/>
  </si>
  <si>
    <t/>
  </si>
  <si>
    <t>Do not change any values on these cells.</t>
  </si>
  <si>
    <t/>
  </si>
  <si>
    <t>OH</t>
  </si>
  <si>
    <t>For Coding Use do not erase</t>
  </si>
  <si>
    <t xml:space="preserve"> Building Name</t>
  </si>
  <si>
    <t>all values will be automatically generated.</t>
  </si>
  <si>
    <t>Total</t>
  </si>
  <si>
    <t/>
  </si>
  <si>
    <t/>
  </si>
  <si>
    <t/>
  </si>
  <si>
    <t/>
  </si>
  <si>
    <t/>
  </si>
  <si>
    <t/>
  </si>
  <si>
    <t/>
  </si>
  <si>
    <t/>
  </si>
  <si>
    <t/>
  </si>
  <si>
    <t>Zone/Building Number/Coordinates</t>
  </si>
  <si>
    <t>Others (Example. Coordinates)</t>
  </si>
  <si>
    <t>Zone/Building No.</t>
  </si>
  <si>
    <t/>
  </si>
  <si>
    <t>General instruction mentioned below to fill the sheet and Calculate savings.</t>
  </si>
  <si>
    <t>Please follow the below steps:</t>
  </si>
  <si>
    <t>Step 1</t>
  </si>
  <si>
    <t>Survey shall be done for all building in project scope.</t>
  </si>
  <si>
    <t>Step 2</t>
  </si>
  <si>
    <t>Identify the areas, location, building names, usage for all buildings under the scope.This will be reflected in the savings sheet.</t>
  </si>
  <si>
    <t>Identify the operating hours from 00:00:00 AM to 23:59:00 PM for all areas based on the letter from the entity or site collected information.</t>
  </si>
  <si>
    <t>Step 3</t>
  </si>
  <si>
    <t>Fill these cells based on site collected information as instructed below.</t>
  </si>
  <si>
    <t>ESM</t>
  </si>
  <si>
    <t>BOQ</t>
  </si>
  <si>
    <t>Lighting Replacement Conventional to LED</t>
  </si>
  <si>
    <t>Lighting Replacement LED to LED</t>
  </si>
  <si>
    <t>Lighting Control</t>
  </si>
  <si>
    <t>Summary</t>
  </si>
  <si>
    <t>Space Category</t>
  </si>
  <si>
    <t>LED/CONV</t>
  </si>
  <si>
    <t>Lamp Load (W)</t>
  </si>
  <si>
    <t>Lamp/Fix</t>
  </si>
  <si>
    <t>Lamp Qty</t>
  </si>
  <si>
    <t>Total Load [kW]</t>
  </si>
  <si>
    <t>Operating Hour</t>
  </si>
  <si>
    <t>Lamp/Fix.</t>
  </si>
  <si>
    <t>Lamp Load 
[W]</t>
  </si>
  <si>
    <t>Fix Load 
 [W]</t>
  </si>
  <si>
    <t>Total Load[kW]</t>
  </si>
  <si>
    <t xml:space="preserve">Is there a light control? </t>
  </si>
  <si>
    <t>Sensors Qty</t>
  </si>
  <si>
    <t>Installed Yes / No</t>
  </si>
  <si>
    <t>FTL</t>
  </si>
  <si>
    <t>Conv</t>
  </si>
  <si>
    <t>LED</t>
  </si>
  <si>
    <t>Sr. No.</t>
  </si>
  <si>
    <t>Lamp Type</t>
  </si>
  <si>
    <t>Shape/Size/Base</t>
  </si>
  <si>
    <t>Length/Width/Diameter</t>
  </si>
  <si>
    <t>Wattage (W)</t>
  </si>
  <si>
    <t>Lumens (lm)</t>
  </si>
  <si>
    <t>T8</t>
  </si>
  <si>
    <t>Interior</t>
  </si>
  <si>
    <t>Location Type (Interior/Exterior)</t>
  </si>
  <si>
    <t>Conv./LED</t>
  </si>
  <si>
    <t>CFL</t>
  </si>
  <si>
    <t>T5</t>
  </si>
  <si>
    <t>Lamp/Fixture</t>
  </si>
  <si>
    <t>Check</t>
  </si>
  <si>
    <t>1.5M-</t>
  </si>
  <si>
    <t>1X</t>
  </si>
  <si>
    <t>2X</t>
  </si>
  <si>
    <t>3X</t>
  </si>
  <si>
    <t>4X</t>
  </si>
  <si>
    <t>1.2M-</t>
  </si>
  <si>
    <t>0.6M-</t>
  </si>
  <si>
    <t>E27</t>
  </si>
  <si>
    <t>E40</t>
  </si>
  <si>
    <t>2Pin</t>
  </si>
  <si>
    <t>Candle</t>
  </si>
  <si>
    <t>E14</t>
  </si>
  <si>
    <t>MH</t>
  </si>
  <si>
    <t>Exterior</t>
  </si>
  <si>
    <t>Flood Light</t>
  </si>
  <si>
    <t>Downlight</t>
  </si>
  <si>
    <t>Down Light</t>
  </si>
  <si>
    <t>MV</t>
  </si>
  <si>
    <t>Spot Light</t>
  </si>
  <si>
    <t>HPS</t>
  </si>
  <si>
    <t>Street Light</t>
  </si>
  <si>
    <t>High Bay</t>
  </si>
  <si>
    <t>LED Tube</t>
  </si>
  <si>
    <t>LED Spot Light</t>
  </si>
  <si>
    <t>LED Bulb</t>
  </si>
  <si>
    <t>60X60</t>
  </si>
  <si>
    <t>4''</t>
  </si>
  <si>
    <t>6''</t>
  </si>
  <si>
    <t>8''</t>
  </si>
  <si>
    <t>LED High Bay</t>
  </si>
  <si>
    <t>LED Street Light</t>
  </si>
  <si>
    <t>LED Stick</t>
  </si>
  <si>
    <t>LED Candle Light</t>
  </si>
  <si>
    <t>Conv Types</t>
  </si>
  <si>
    <t>LED Types</t>
  </si>
  <si>
    <t>Halogen Spot Light</t>
  </si>
  <si>
    <t xml:space="preserve">LED Batten Light </t>
  </si>
  <si>
    <t>LED Dampproof</t>
  </si>
  <si>
    <t>LED High Watt Bulb</t>
  </si>
  <si>
    <t>LED Panel</t>
  </si>
  <si>
    <t>LED Surface Light</t>
  </si>
  <si>
    <t>LED Down Light</t>
  </si>
  <si>
    <t>LED Flood Light</t>
  </si>
  <si>
    <t>Fluorescent Tube Light</t>
  </si>
  <si>
    <t>Compact Fluorescent Light</t>
  </si>
  <si>
    <t>Halogen</t>
  </si>
  <si>
    <t>High Pressure Sodium</t>
  </si>
  <si>
    <t>Mercury Vabor</t>
  </si>
  <si>
    <t>Incandescent</t>
  </si>
  <si>
    <t>Metal Halide</t>
  </si>
  <si>
    <t>Output lumen consideration for baseline type</t>
  </si>
  <si>
    <t>Type</t>
  </si>
  <si>
    <t>lm/watt</t>
  </si>
  <si>
    <t>Metal Halide/High Pressure Sodium</t>
  </si>
  <si>
    <t xml:space="preserve">50 </t>
  </si>
  <si>
    <t>Mercury Vapour</t>
  </si>
  <si>
    <t>35</t>
  </si>
  <si>
    <t>Fluorescent</t>
  </si>
  <si>
    <t xml:space="preserve">Incandecent/Filament </t>
  </si>
  <si>
    <t>10</t>
  </si>
  <si>
    <t>Halogen-General</t>
  </si>
  <si>
    <t xml:space="preserve">10 </t>
  </si>
  <si>
    <t>Halogen-Streetlight/Floodlight/Highbay</t>
  </si>
  <si>
    <t>15</t>
  </si>
  <si>
    <t>LED-Spotlight</t>
  </si>
  <si>
    <t>LED-General</t>
  </si>
  <si>
    <t>LED-Streetlight/Floodlight/Highbay</t>
  </si>
  <si>
    <t>80</t>
  </si>
  <si>
    <t>Baseline Unit Type</t>
  </si>
  <si>
    <t>LED/Conv.</t>
  </si>
  <si>
    <t>Lamp Wattage</t>
  </si>
  <si>
    <t xml:space="preserve">Fixure Wattage </t>
  </si>
  <si>
    <t>Project Unit Type</t>
  </si>
  <si>
    <t>Tarshid's Comments - R0 (x.xx.xxxx)</t>
  </si>
  <si>
    <t>Tarshid's Comments - R1 (x.xx.xxxx)</t>
  </si>
  <si>
    <t>ESCO Reply  - R1  (xx.xx.xxxx)</t>
  </si>
  <si>
    <t xml:space="preserve">Flouresent Tube Light </t>
  </si>
  <si>
    <t>LVSTICK 7W/840 100-240V E27 10X1KSAOSRAM</t>
  </si>
  <si>
    <t>LVSTICK 12W/840 100-240V E2710X1KSAOSRAM</t>
  </si>
  <si>
    <t>HPSV</t>
  </si>
  <si>
    <t>others..</t>
  </si>
  <si>
    <t>Under Review/ Not Approved</t>
  </si>
  <si>
    <t>Approved</t>
  </si>
  <si>
    <t xml:space="preserve">Conditional Approval </t>
  </si>
  <si>
    <t xml:space="preserve">No Replacement </t>
  </si>
  <si>
    <t>No-Retrofit</t>
  </si>
  <si>
    <t xml:space="preserve">Source Type </t>
  </si>
  <si>
    <t>Incadesent</t>
  </si>
  <si>
    <t>Add more types here</t>
  </si>
  <si>
    <t>Lumens</t>
  </si>
  <si>
    <t>LED_Tube</t>
  </si>
  <si>
    <t>LED_Spot_Light</t>
  </si>
  <si>
    <t>LED_Bulb</t>
  </si>
  <si>
    <t>LED_Downlight</t>
  </si>
  <si>
    <t>LED_High_Bay</t>
  </si>
  <si>
    <t>LED_Street_Light</t>
  </si>
  <si>
    <t>LED_Stick</t>
  </si>
  <si>
    <t>LED_Candle_Light</t>
  </si>
  <si>
    <t>Model</t>
  </si>
  <si>
    <t>Brand</t>
  </si>
  <si>
    <t>CCT (K)</t>
  </si>
  <si>
    <t>Life Hour Tested (Hrs.)</t>
  </si>
  <si>
    <t>Operating V/g (V)</t>
  </si>
  <si>
    <t> </t>
  </si>
  <si>
    <t>Ult TLED T5 7W 4000K 600mm IP20 ND</t>
  </si>
  <si>
    <t>Honeywell</t>
  </si>
  <si>
    <t>600 mm</t>
  </si>
  <si>
    <t>100-240</t>
  </si>
  <si>
    <t>Ess Stick 7W 3000K T36 100-240V E27 IP20 ND</t>
  </si>
  <si>
    <t>-</t>
  </si>
  <si>
    <t>LDPFM PL0606B 22W 840 WV (P-PL0606B-22W840-WV-K)</t>
  </si>
  <si>
    <t>LEDVANCE</t>
  </si>
  <si>
    <t>Square</t>
  </si>
  <si>
    <t>600 X 600 mm</t>
  </si>
  <si>
    <t>100-277</t>
  </si>
  <si>
    <t>LDSUP DL 105 6W 930 WV (P-DL-R105-6W-WV-G3-930)</t>
  </si>
  <si>
    <t>Round</t>
  </si>
  <si>
    <t>4"</t>
  </si>
  <si>
    <t>Philips</t>
  </si>
  <si>
    <t>120-277</t>
  </si>
  <si>
    <t>Ult TLED T5 7W 6500K 600mmIP20 ND</t>
  </si>
  <si>
    <t>Ess Stick 7W 4000K T36 100-240V E27 IP20 ND</t>
  </si>
  <si>
    <t>LDPFM PL0606B 22W 865 WV (P-PL0606B-22W865-WV-K)</t>
  </si>
  <si>
    <t>LDSUP DL 105 6W 940 WV (P-DL-R105-6W-WV-G3-940)</t>
  </si>
  <si>
    <t>Ult TLED T5 10.5W 4000K 900mm IP20 ND</t>
  </si>
  <si>
    <t>900 mm</t>
  </si>
  <si>
    <t>Ess Stick 7W 6500K T36 100-240V E27 IP20 ND</t>
  </si>
  <si>
    <t>LDPFM PL0606B 24W 830  (P-PL0606B-24W830-WV)</t>
  </si>
  <si>
    <t>LDSUP DL 105 6W 965 WV (P-DL-R105-6W-WV-G3-965)</t>
  </si>
  <si>
    <t>Ult TLED T5 10.5W 6500K 900mm IP20 ND</t>
  </si>
  <si>
    <t>Ess Stick 9W 3000K T36 100-240V E27 IP20 ND</t>
  </si>
  <si>
    <t>LDPFM PL0606B 24W 840  (P-PL0606B-24W840-WV)</t>
  </si>
  <si>
    <t>LDSUP DL 150 9W 930 WV (P-DL-R150-9W-WV-G3-930)</t>
  </si>
  <si>
    <t>6"</t>
  </si>
  <si>
    <t>Ult TLED T5 14.5W 4000K 1200mmIP20 ND</t>
  </si>
  <si>
    <t>1200 mm</t>
  </si>
  <si>
    <t>Ess Stick 9W 4000K T36 100-240V E27 IP20 ND</t>
  </si>
  <si>
    <t>LDPFM PL0606B 24W 865  (P-PL0606B-24W865-WV)</t>
  </si>
  <si>
    <t>LDSUP DL 150 9W 940 WV (P-DL-R150-9W-WV-G3-940)</t>
  </si>
  <si>
    <t>Xceed BRP381  45W 120-277V  3000K</t>
  </si>
  <si>
    <t>Ult TLED T5 14.5W 6500K 1200mmIP20 ND</t>
  </si>
  <si>
    <t>Ess Stick 9W 6500K T36 100-240V E27 IP20 ND</t>
  </si>
  <si>
    <t>LDPFM PL0606 20W HE1 840 WV 6X1 KSALEDV</t>
  </si>
  <si>
    <t>LDSUP DL 150 9W 965 WV (P-DL-R150-9W-WV-G3-965)</t>
  </si>
  <si>
    <t>Xceed BRP381  45W 120-277V  4000K</t>
  </si>
  <si>
    <t>Ult TLED T5 17W 4000K 1500mmIP20 ND</t>
  </si>
  <si>
    <t>1500 mm</t>
  </si>
  <si>
    <t>Ess Stick 10W 3000K T36 100-240V E27 IP20 ND</t>
  </si>
  <si>
    <t>LDPFM PL0606 20W HE1 865 WV 6X1 KSALEDV</t>
  </si>
  <si>
    <t>LDSUP DL 150 12W 930 WV (P-DL-R150-12W-WV-G3-930)</t>
  </si>
  <si>
    <t>Xceed BRP381 45W 120-277V  6500K</t>
  </si>
  <si>
    <t>Ult TLED T5 17W 6500K 1500mm IP20 ND</t>
  </si>
  <si>
    <t>Ess Stick 10W 4000K T36 100-240V E27 IP20 ND</t>
  </si>
  <si>
    <t>LDPFM PL0606B 28W 830 WV (P-PL0606B-28W830-WV-H)</t>
  </si>
  <si>
    <t>LDSUP DL 150 12W 940 WV (P-DL-R150-12W-WV-G3-940)</t>
  </si>
  <si>
    <t>Xceed  BRP384  302W 120-277 4000K</t>
  </si>
  <si>
    <t>Ult TLED T5 24W 4000K 1500mm IP20 ND</t>
  </si>
  <si>
    <t>Ess Stick 10W 6500K T36 100-240V E27 IP20 ND</t>
  </si>
  <si>
    <t>LDPFM PL0606B 28W 840 WV (P-PL0606B-28W840-WV-H)</t>
  </si>
  <si>
    <t>LDSUP DL 150 12W 965 WV (P-DL-R150-12W-WV-G3-965)</t>
  </si>
  <si>
    <t>Xceed  BRP384 26W 120-277 4000K</t>
  </si>
  <si>
    <t>Ult TLED T5 24W 6500K 1500mm IP20 ND</t>
  </si>
  <si>
    <t>Ess Stick 12W 3000K T44 100-240V E27  IP20 ND</t>
  </si>
  <si>
    <t>LDPFM PL0606B 28W 865 WV (P-PL0606B-28W865-WV-H)</t>
  </si>
  <si>
    <t>LDSUP DL 190 15W 930 WV (P-DL-R190-15W-WV-G3-930)</t>
  </si>
  <si>
    <t>8"</t>
  </si>
  <si>
    <t>Xceed BRP384  264W 120‐277V  6500K</t>
  </si>
  <si>
    <t>Ult TLED T8 5.5W 3000K 60cm G13 IP20 ND</t>
  </si>
  <si>
    <t>Ess Stick 12W 4000K T44 100-240V E27 IP20 ND</t>
  </si>
  <si>
    <t xml:space="preserve">LDVAL PANEL 0312 36W 840 </t>
  </si>
  <si>
    <t>Ledvance</t>
  </si>
  <si>
    <t>Rectangular</t>
  </si>
  <si>
    <t>300 X 1200 mm</t>
  </si>
  <si>
    <t>220-240</t>
  </si>
  <si>
    <t>LDSUP DL 190 15W 940 WV (P-DL-R190-15W-WV-G3-940)</t>
  </si>
  <si>
    <t>Xceed BRP381  3000K 102W 120-277V</t>
  </si>
  <si>
    <t>Ult TLED T8 5.5W 4000K 60cm G13 IP20 ND</t>
  </si>
  <si>
    <t>Ess Stick 12W 6500K T44 100-240V E27 IP20 ND</t>
  </si>
  <si>
    <t>LDVAL PANEL 0312 36W 865</t>
  </si>
  <si>
    <t>LDSUP DL 190 15W 965 WV (P-DL-R190-15W-WV-G3-965)</t>
  </si>
  <si>
    <t>Xceed BRP381  4000K 102W 120-277V</t>
  </si>
  <si>
    <t>Ult TLED T8 5.5W 6500K 60cm G13 IP20 ND</t>
  </si>
  <si>
    <t>Ess Stick 14W 3000K T48 100-240V E27 IP20 ND</t>
  </si>
  <si>
    <t xml:space="preserve">LDVAL PL0612B 53W 830 </t>
  </si>
  <si>
    <t>600 X 1200 mm</t>
  </si>
  <si>
    <t>LDSUP DL 190 18W 930 WV (P-DL-R190-18W-WV-G3-930)</t>
  </si>
  <si>
    <t>Xceed BRP381  6500K 102W 120-277V</t>
  </si>
  <si>
    <t>Ult TLED T8 9.7W 3000K 120cm G13 IP20 ND</t>
  </si>
  <si>
    <t>Ess Stick 14W 4000K T48 100-240V E27 IP20 ND</t>
  </si>
  <si>
    <t xml:space="preserve">LDVAL PL0612B 53W 840 </t>
  </si>
  <si>
    <t>LDSUP DL 190 18W 940 WV (P-DL-R190-18W-WV-G3-940)</t>
  </si>
  <si>
    <t>LDPFM HB 80W 865 G4 (P-HB-80W-WV-865)</t>
  </si>
  <si>
    <t>UFO</t>
  </si>
  <si>
    <t>298D*117Hmm</t>
  </si>
  <si>
    <t>Ult TLED T8 9.7W 4000K 120cm G13 IP20 ND</t>
  </si>
  <si>
    <t>Ess Stick 14W 6500K T48 100-240V E27 IP20 ND</t>
  </si>
  <si>
    <t xml:space="preserve">LDVAL PL0612B 53W 865 </t>
  </si>
  <si>
    <t>LDSUP DL 190 18W 965 WV (P-DL-R190-18W-WV-G3-965)</t>
  </si>
  <si>
    <t>LDPFM HB 100W 865 G4 (P-HB-100W-WV-865)</t>
  </si>
  <si>
    <t>Ult TLED T8 9.7W 6500K 120cm G13 IP20 ND</t>
  </si>
  <si>
    <t>Adv Bulb 6W 3000K A60 220-240V E27 IP20 DIM</t>
  </si>
  <si>
    <t xml:space="preserve">LDVAL CEILING 23W 830 G2 </t>
  </si>
  <si>
    <t>330 mm</t>
  </si>
  <si>
    <t>DL ALU DN200 35W/3000K</t>
  </si>
  <si>
    <t>Osram</t>
  </si>
  <si>
    <t>LDPFM HB 120W 865 G4 (P-HB-120W-WV-865)</t>
  </si>
  <si>
    <t>Ult TLED T8 5.2W 4000K 60cm G13 IP20 ND</t>
  </si>
  <si>
    <t>Adv Bulb 6W 6500K A60 220-240V E27 IP20 DIM</t>
  </si>
  <si>
    <t xml:space="preserve">LDVAL CEILING 23W 840 G2 </t>
  </si>
  <si>
    <t>DL ALU DN200 35W/4000K</t>
  </si>
  <si>
    <t>LDPFM HB 150W 865 G4 (P-HB-150W-WV-865)</t>
  </si>
  <si>
    <t>Ult TLED T8 5.2W 6500K 60cm G13 IP20 ND</t>
  </si>
  <si>
    <t>Ess Bulb 5W 3000K A60 220-240V E27 IP20 ND</t>
  </si>
  <si>
    <t xml:space="preserve">LDVAL CEILING 23W 865 G2 </t>
  </si>
  <si>
    <t>DL ALU DN200 35W/6500K</t>
  </si>
  <si>
    <t>LDPFM HB 200W 865 G4 (P-HB-200W-WV-865)</t>
  </si>
  <si>
    <t>Ult TLED T8 8.7W 4000K 120cm G13 IP20 ND</t>
  </si>
  <si>
    <t>Ess Bulb 5W 4000K A60 220-240V E27 IP20 ND</t>
  </si>
  <si>
    <t>Ult BL 20W 4000K 100-240V 60X60 IP20/54 ND UGR&lt;19</t>
  </si>
  <si>
    <t xml:space="preserve">LDVAL SLIMDL RD 70 4W 830 </t>
  </si>
  <si>
    <t>3"</t>
  </si>
  <si>
    <t>LDPFM HB 80W 8640 G4 (P-HB-80W-WV-8640)</t>
  </si>
  <si>
    <t>Ult TLED T8 8.7W 6500K 120cm G13 IP20 ND</t>
  </si>
  <si>
    <t>Ess Bulb 5W 6500K A60 220-240V E27 IP20 ND</t>
  </si>
  <si>
    <t>Ult BL 20W 6500K 100-240V 60X60 IP20/54 ND UGR&lt;19</t>
  </si>
  <si>
    <t xml:space="preserve">LDVAL SLIMDL RD 70 4W 840 </t>
  </si>
  <si>
    <t>LDPFM HB 100W 840 G4 (P-HB-100W-WV-840)</t>
  </si>
  <si>
    <t>Adv TLED T8 13W 3000K 120cm G13 IP20 ND</t>
  </si>
  <si>
    <t>Ess Bulb 7W 3000K A60 220-240V E27 IP20 ND</t>
  </si>
  <si>
    <t>Ult BL 25W 4000K 100-240V 60X60 IP20/54 ND UGR&lt;19</t>
  </si>
  <si>
    <t xml:space="preserve">LDVAL SLIMDL RD 70 4W 865 </t>
  </si>
  <si>
    <t>LDPFM HB 120W 840 G4 (P-HB-120W-WV-840)</t>
  </si>
  <si>
    <t>Adv TLED T8 13W 4000K 120cm G13 IP20 ND</t>
  </si>
  <si>
    <t>Ess Bulb 7W 4000K A60 220-240V E27 IP20 ND</t>
  </si>
  <si>
    <t>Ult BL 25W 6500K 100-240V 60X60 IP20/54 ND UGR&lt;19</t>
  </si>
  <si>
    <t xml:space="preserve">LDVAL SLIMDL RD 105 9W 830 </t>
  </si>
  <si>
    <t>LDPFM HB 150W 840 G4 (P-HB-150W-WV-840)</t>
  </si>
  <si>
    <t>336D*119Hmm</t>
  </si>
  <si>
    <t>Adv TLED T8 13W 6500K 120cm G13 IP20 ND</t>
  </si>
  <si>
    <t>Ess Bulb 7W 6500K A60 220-240V E27 IP20 ND</t>
  </si>
  <si>
    <t>Ult BL 23.5W 4000K 100-240V 60X60 IP20/54 ND UGR&lt;22</t>
  </si>
  <si>
    <t xml:space="preserve">LDVAL SLIMDL RD 105 9W 840 </t>
  </si>
  <si>
    <t>LDPFM HB 200W 840 G4 (P-HB-200W-WV-840)</t>
  </si>
  <si>
    <t>Adv TLED T8 20W 3000K 150cm G13 IP20 ND</t>
  </si>
  <si>
    <t>Ess Bulb 9W 3000K A60 220-240V E27 IP20 ND</t>
  </si>
  <si>
    <t>Ult BL 23.5W 6500K 100-240V 60X60 IP20/54 ND UGR&lt;22</t>
  </si>
  <si>
    <t xml:space="preserve">LDVAL SLIMDL RD 105 9W 865 </t>
  </si>
  <si>
    <t xml:space="preserve">LDPFM FL HP400W 840 </t>
  </si>
  <si>
    <t>30D,55D,40X85D</t>
  </si>
  <si>
    <t>Adv TLED T8 20W 4000K 150cm G13 IP20 ND</t>
  </si>
  <si>
    <t>Ess Bulb 9W 4000K A60 220-240V E27 IP20 ND</t>
  </si>
  <si>
    <t>Ult BL 25W 4000K 100-277V 30X120 IP20/54 ND UGR&lt;19</t>
  </si>
  <si>
    <t xml:space="preserve">LDVAL SLIMDL RD 150 15W830 </t>
  </si>
  <si>
    <t xml:space="preserve">LDPFM FL HP400W 865 </t>
  </si>
  <si>
    <t>Adv TLED T8 20W 6500K 150cm G13 IP20 ND</t>
  </si>
  <si>
    <t>Ess Bulb 9W 6500K A60 220-240V E27 IP20 ND</t>
  </si>
  <si>
    <t>Ult BL 25W 6500K 100-277V 30X120 IP20/54 ND UGR&lt;19</t>
  </si>
  <si>
    <t>LDVAL SLIMDL RD 150 15W840</t>
  </si>
  <si>
    <t xml:space="preserve">LDPFM FL HP 600W 865 </t>
  </si>
  <si>
    <t>Adv WP 16W 4000K IP65 ND</t>
  </si>
  <si>
    <t>Rectangle line</t>
  </si>
  <si>
    <t>Ess Bulb 12W 3000K A60 220-240V E27 IP20 ND</t>
  </si>
  <si>
    <t>Ult BL 38W 4000K 100-277V 60X120 IP20/54 ND UGR&lt;19</t>
  </si>
  <si>
    <t>LDVAL SLIMDL RD 150 15W865</t>
  </si>
  <si>
    <t>LDPFM FL HP 600W 840</t>
  </si>
  <si>
    <t>Adv WP 16W 6500K IP65 ND</t>
  </si>
  <si>
    <t>Ess Bulb 12W 4000K A60 220-240V E27 IP20 ND</t>
  </si>
  <si>
    <t>Ult BL 38W 6500K 100-277V 60X120 IP20/54 ND UGR&lt;19</t>
  </si>
  <si>
    <t xml:space="preserve">LDVAL SLIMDL RD 205 18W830 </t>
  </si>
  <si>
    <t>LDPFM FL 10W 830 (P-FL-10W-WV-G4-830)</t>
  </si>
  <si>
    <t>131x92x36mm</t>
  </si>
  <si>
    <t>Adv WP 30W 4000K IP65 ND</t>
  </si>
  <si>
    <t>Ess Bulb 12W 6500K A60 220-240V E27 IP20 ND</t>
  </si>
  <si>
    <t>Ess Surface R SMD DL 18W 3000K 220-240V IP20 ND</t>
  </si>
  <si>
    <t>223 mm</t>
  </si>
  <si>
    <t xml:space="preserve">LDVAL SLIMDL RD 205 18W840 </t>
  </si>
  <si>
    <t>LDPFM FL 10W 840 (P-FL-10W-WV-G4-840)</t>
  </si>
  <si>
    <t>Adv WP 30W 6500K IP65 ND</t>
  </si>
  <si>
    <t>Ess Bulb 17.7W 3000K A65 220-240V E27 IP20 ND</t>
  </si>
  <si>
    <t>Ess Surface R SMD DL 18W 4000K 220-240V IP20 ND</t>
  </si>
  <si>
    <t xml:space="preserve">LDVAL SLIMDL RD 205 18W865 </t>
  </si>
  <si>
    <t>LDPFM FL 10W 865 (P-FL-10W-WV-G4-865)</t>
  </si>
  <si>
    <t>Adv WP 45W 4000K IP65 ND</t>
  </si>
  <si>
    <t>Ess Bulb 17.7W 4000K A65 220-240V E27 IP20 ND</t>
  </si>
  <si>
    <t xml:space="preserve">Philips </t>
  </si>
  <si>
    <t>Ultimate Downlight UE UGR 5.5W 3000K 100-240V ND</t>
  </si>
  <si>
    <t>LDPFM FL 15W 830 (P-FL-15W-WV-G4-830)</t>
  </si>
  <si>
    <t>156x109x42mm</t>
  </si>
  <si>
    <t>Adv WP 45W 6500K IP65 ND</t>
  </si>
  <si>
    <t>Ess Bulb 17.7W 6500K A65 220-240V E27 IP20 ND</t>
  </si>
  <si>
    <t>Ultimate Downlight UE UGR 5.5W 4000K 100-240V ND</t>
  </si>
  <si>
    <t>LDPFM FL 15W 840 (P-FL-15W-WV-G4-840)</t>
  </si>
  <si>
    <t>ST8A-0.6M 5,3W/830100-240VEM25X1KSAOSRAM</t>
  </si>
  <si>
    <t>Ess Candle 5W 3000K B35 220-240V E14 IP20 ND</t>
  </si>
  <si>
    <t>Ultimate Downlight UE UGR 5.5W 6500K 100-240V ND</t>
  </si>
  <si>
    <t>LDPFM FL 15W 865 (P-FL-15W-WV-G4-865)</t>
  </si>
  <si>
    <t>ST8A-0.6M 5,3W/840100-240VEM25X1KSAOSRAM</t>
  </si>
  <si>
    <t>Ess Candle 5W 4000K B35 220-240V E14 IP20 ND</t>
  </si>
  <si>
    <t>Ultimate Downlight UE UGR 8.5W 3000K 100-240V ND</t>
  </si>
  <si>
    <t>LDPFM FL 25W 830 (P-FL-25W-WV-G4-830)</t>
  </si>
  <si>
    <t>186x134x42mm</t>
  </si>
  <si>
    <t>ST8A-0.6M 5,3W/865100-240VEM25X1KSAOSRAM</t>
  </si>
  <si>
    <t>Ess Candle 5W 6500K B35 220-240V E14 IP20 ND</t>
  </si>
  <si>
    <t>Ultimate Downlight UE UGR 8.5W 4000K 100-240V ND</t>
  </si>
  <si>
    <t>LDPFM FL 25W 840 (P-FL-25W-WV-G4-840)</t>
  </si>
  <si>
    <t>ST8A-0.9M 9W/830 100-240V EM25X1KSAOSRAM</t>
  </si>
  <si>
    <t>Ult Spot GU10 2.85W 2700K 38D 220-240V GU10 IP20</t>
  </si>
  <si>
    <t>GU10</t>
  </si>
  <si>
    <t>Ultimate Downlight UE UGR 8.5W 6500K 100-240V ND</t>
  </si>
  <si>
    <t>LDPFM FL 25W 865 (P-FL-25W-WV-G4-865)</t>
  </si>
  <si>
    <t>ST8A-0.9M 9W/840 100-240V EM25X1KSAOSRAM</t>
  </si>
  <si>
    <t>Ult Spot GU10 2.85W 4000K 38D 220-240V GU10 IP20</t>
  </si>
  <si>
    <t>Ultimate Downlight UE UGR 11W 3000K 100-240V ND</t>
  </si>
  <si>
    <t>LDPFM FL 43W 830 (P-FL-43W-WV-G4-830)</t>
  </si>
  <si>
    <t>218x155x46mm</t>
  </si>
  <si>
    <t>ST8A-0.9M 9W/865 100-240V EM25X1KSAOSRAM</t>
  </si>
  <si>
    <t>Ult Spot GU10 2.85W 6500K 38D 220-240V GU10 IP20</t>
  </si>
  <si>
    <t>Ultimate Downlight UE UGR 11W 4000K 100-240V ND</t>
  </si>
  <si>
    <t>LDPFM FL 43W 840 (P-FL-43W-WV-G4-840)</t>
  </si>
  <si>
    <t>ST8A-1.2M 8,9W/830100-240VEM25X1KSAOSRAM</t>
  </si>
  <si>
    <t>Adv Spot GU10 5.5W 2700K 36D 220-240V GU10 IP20 DIM</t>
  </si>
  <si>
    <t>Ultimate Downlight UE UGR 11W 6500K 100-240V ND</t>
  </si>
  <si>
    <t>LDPFM FL 43W 865 (P-FL-43W-WV-G4-865)</t>
  </si>
  <si>
    <t>ST8A-1.2M 8,9W/840100-240VEM25X1KSAOSRAM</t>
  </si>
  <si>
    <t>Adv Spot GU10 5.5W 3000K 36D 220-240V GU10 IP20 DIM</t>
  </si>
  <si>
    <t>Ultimate Downlight UE UGR 14W 3000K 100-240V ND</t>
  </si>
  <si>
    <t>LDPFM FL 58W 830 (P-FL-58W-WV-G4-830)</t>
  </si>
  <si>
    <t>228x181x52mm</t>
  </si>
  <si>
    <t>ST8A-1.2M 8,9W/865100-240VEM25X1KSAOSRAM</t>
  </si>
  <si>
    <t>Adv Spot GU10 5.5W 4000K 36D 220-240V GU10 IP20 DIM</t>
  </si>
  <si>
    <t>Ultimate Downlight UE UGR 14W 4000K 100-240V ND</t>
  </si>
  <si>
    <t>LDPFM FL 58W 840 (P-FL-58W-WV-G4-840)</t>
  </si>
  <si>
    <t>ST8A-1.5M 20W/830 EMWV 25X1 KSA    OSRAM</t>
  </si>
  <si>
    <t>Adv Spot GU10 5.5W 6500K 36D 220-240V GU10 IP20 DIM</t>
  </si>
  <si>
    <t>Ultimate Downlight UE UGR 14W 6500K 100-240V ND</t>
  </si>
  <si>
    <t>LDPFM FL 58W 865 (P-FL-58W-WV-G4-865)</t>
  </si>
  <si>
    <t>ST8A-1.5M 20W/840 EMWV 25X1 KSA    OSRAM</t>
  </si>
  <si>
    <t>Ess Spot MR16 5W 2700K 36D 220-240V GU5.3 IP20 ND</t>
  </si>
  <si>
    <t>MR16</t>
  </si>
  <si>
    <t>Ultimate Downlight UE UGR 17W 3000K 100-240V ND</t>
  </si>
  <si>
    <t>LDPFM FL 70W 830 (P-FL-70W-WV-G4-830)</t>
  </si>
  <si>
    <t>ST8A-1.5M 20W/865 EMWV 25X1 KSA    OSRAM</t>
  </si>
  <si>
    <t>Ess Spot MR16 5W 3000K 36D 220-240V GU5.3 IP20 ND</t>
  </si>
  <si>
    <t>Ultimate Downlight UE UGR 17W 4000K 100-240V ND</t>
  </si>
  <si>
    <t>LDPFM FL 70W 840 (P-FL-70W-WV-G4-840)</t>
  </si>
  <si>
    <t>ST8A-1.2M 13W/840 EMWV 25X1 KSA    OSRAM</t>
  </si>
  <si>
    <t>Ess Spot MR16 5W 4000K 36D 220-240V GU5.3 IP20 ND</t>
  </si>
  <si>
    <t>Ultimate Downlight UE UGR 17W 6500K 100-240V ND</t>
  </si>
  <si>
    <t>LDPFM FL 70W 865 (P-FL-70W-WV-G4-865)</t>
  </si>
  <si>
    <t>ST8A-1.2M 13W/865 EMWV 25X1 KSA    OSRAM</t>
  </si>
  <si>
    <t>Ess Spot MR16 5W 6500K 36D 220-240V GU5.3 IP20 ND</t>
  </si>
  <si>
    <t>Ultimate Downlight UE UGR 22W 3000K 100-240V ND</t>
  </si>
  <si>
    <t>LDPFM FL 108W 830 (P-FL-108W-WV-G4-830)</t>
  </si>
  <si>
    <t>266x259x49mm</t>
  </si>
  <si>
    <t>ST5HE14-0.6M7,9W/830100-240ACG5KSA OSRAM</t>
  </si>
  <si>
    <t>Adv Spot G9 3W 3000K  220-240V G9 IP20 ND</t>
  </si>
  <si>
    <t>G9</t>
  </si>
  <si>
    <t>Ultimate Downlight UE UGR 22W 4000K 100-240V ND</t>
  </si>
  <si>
    <t>LDPFM FL 108W 840 (P-FL-108W-WV-G4-840)</t>
  </si>
  <si>
    <t>ST5HE14-0.6M7,9W/840100-240ACG5KSA OSRAM</t>
  </si>
  <si>
    <t>Adv Spot G9 3W 6500K  220-240V G9 IP20 ND</t>
  </si>
  <si>
    <t>Ultimate Downlight UE UGR 22W 6500K 100-240V ND</t>
  </si>
  <si>
    <t>LDPFM FL 108W 865 (P-FL-108W-WV-G4-865)</t>
  </si>
  <si>
    <t>ST5HE14-0.6M7,9W/865100-240ACG5KSA OSRAM</t>
  </si>
  <si>
    <t>Ult HLL 25W 2200K 100-240V E27 IP65 ND</t>
  </si>
  <si>
    <t>Ultimate Downlight UE UGR 27W 3000K 100-240V ND</t>
  </si>
  <si>
    <t>LDPFM FL 143W 830 (P-FL-143W-WV-G4-830)</t>
  </si>
  <si>
    <t>289x282x52mm</t>
  </si>
  <si>
    <t>ST5HE28-1.2M15,5W/830100-240ACG5KSAOSRAM</t>
  </si>
  <si>
    <t>Ult HLL 25W 2700K 100-240V E27 IP65 ND</t>
  </si>
  <si>
    <t>Ultimate Downlight UE UGR 27W 4000K 100-240V ND</t>
  </si>
  <si>
    <t>LDPFM FL 143W 840 (P-FL-143W-WV-G4-840)</t>
  </si>
  <si>
    <t>ST5HE28-1.2M15,5W/840100-240ACG5KSAOSRAM</t>
  </si>
  <si>
    <t>Ult HLL 25W 4000K 100-240V E27 IP65 ND</t>
  </si>
  <si>
    <t>Ultimate Downlight UE UGR 27W 6500K 100-240V ND</t>
  </si>
  <si>
    <t>LDPFM FL 143W 865 (P-FL-143W-WV-G4-865)</t>
  </si>
  <si>
    <t>ST5HE28-1.2M15,5W/865100-240ACG5KSAOSRAM</t>
  </si>
  <si>
    <t>Ult HLL 25W 6500K 100-240V E27 IP65 ND</t>
  </si>
  <si>
    <t>Ess COB DL 7W 4000K 3 Inch 100-240V 7.5cm IP20 ND</t>
  </si>
  <si>
    <t>LDPFM FL 172W 830 (P-FL-172W-WV-G4-830)</t>
  </si>
  <si>
    <t>324x315x54mm</t>
  </si>
  <si>
    <t>ST5HE35-1.5M17,5W/830100-240ACG5KSAOSRAM</t>
  </si>
  <si>
    <t>Ult HLL 35W 2200K 100-240V E27 IP65 ND</t>
  </si>
  <si>
    <t>Ess COB DL 7W 6500K 3 Inch 100-240V 7.5cm IP20 ND</t>
  </si>
  <si>
    <t>LDPFM FL 172W 840 (P-FL-172W-WV-G4-840)</t>
  </si>
  <si>
    <t>ST5HE35-1.5M17,5W/840100-240ACG5KSAOSRAM</t>
  </si>
  <si>
    <t>Ult HLL 35W 2700K 100-240V E27 IP65 ND</t>
  </si>
  <si>
    <t>Ess COB DL 7W 3000K 3 Inch 100-240V 7.5cm IP20 ND</t>
  </si>
  <si>
    <t>LDPFM FL 172W 865 (P-FL-172W-WV-G4-865)</t>
  </si>
  <si>
    <t>ST5HE35-1.5M17,5W/865100-240ACG5KSAOSRAM</t>
  </si>
  <si>
    <t>Ult HLL 35W 4000K 100-240V E27 IP65 ND</t>
  </si>
  <si>
    <t>Ess COB DL 10W 4000K 4 Inch 100-240V 10.5cm IP20 ND</t>
  </si>
  <si>
    <t>Ult HB 75W 4000K  12750 100-240V IP65 ND</t>
  </si>
  <si>
    <t>ST5HO49-1.5M25W/840100-240ACG5 KSA OSRAM</t>
  </si>
  <si>
    <t>Ult HLL 35W 6500K 100-240V E27 IP65 ND</t>
  </si>
  <si>
    <t>Ess COB DL 10W 6500K 4 Inch 100-240V 10.5cm IP20 ND</t>
  </si>
  <si>
    <t>Ult HB 75W 6500K  12750 100-240V IP65 ND</t>
  </si>
  <si>
    <t>ST5HO49-1.5M25W/865100-240ACG5KSA  OSRAM</t>
  </si>
  <si>
    <t>Ult HLL 35W 2200K 100-240V E40 IP65 ND</t>
  </si>
  <si>
    <t>Ess COB DL 10W 3000K 4 Inch 100-240V 10.5cm IP20 ND</t>
  </si>
  <si>
    <t>Ult HB 100W 4000K  17000 100-240V IP65 ND</t>
  </si>
  <si>
    <t>Ult HLL 35W 2700K 100-240V E40 IP65 ND</t>
  </si>
  <si>
    <t>Ess COB DL 15W 3000K 6 Inch 100-240V 14cm IP20 ND</t>
  </si>
  <si>
    <t>Ult HB 100W 6500K  17000 100-240V IP65 ND</t>
  </si>
  <si>
    <t>Ult HLL 35W 4000K 100-240V E40 IP65 ND</t>
  </si>
  <si>
    <t>Ess COB DL 15W 4000K 6 Inch 100-240V 14cm IP20 ND</t>
  </si>
  <si>
    <t>Ult HB 120W 4000K  20400 100-240V IP65 ND</t>
  </si>
  <si>
    <t>ST5HO80-1.5M35W/840100-240ACG5KSA  OSRAM</t>
  </si>
  <si>
    <t>Ult HLL 35W 6500K 100-240V E40 IP65 ND</t>
  </si>
  <si>
    <t>Ess COB DL 15W 6500K 6 Inch 100-240V 14cm IP20 ND</t>
  </si>
  <si>
    <t>Ult HB 120W 6500K  20400 100-240V IP65 ND</t>
  </si>
  <si>
    <t>ST5HO80-1.5M35W/865100-240ACG5KSA  OSRAM</t>
  </si>
  <si>
    <t>Ult HLL 54 W 2200K 100-240V E40 IP65 ND</t>
  </si>
  <si>
    <t>Ess COB DL 30W 3000K 8 Inch 100-240V 20cm IP20 ND</t>
  </si>
  <si>
    <t>Ult HB 150W 4000K  25500 100-240V IP65 ND</t>
  </si>
  <si>
    <t>LDPFM DP 600 8W 840 WV G4 (P-DP06-8W-WV-G4-840)</t>
  </si>
  <si>
    <t>599X77X68mm</t>
  </si>
  <si>
    <t>100-277V</t>
  </si>
  <si>
    <t>Ult HLL 54 W 2700K 100-240V E40 IP65 ND</t>
  </si>
  <si>
    <t>Ess COB DL 30W 4000K 8 Inch 100-240V 20cm IP20 ND</t>
  </si>
  <si>
    <t>Ult HB 150W 6500K  25500 100-240V IP65 ND</t>
  </si>
  <si>
    <t>LDPFM DP 600 8W 865 WV G4 (P-DP06-8W -WV-G4-865)</t>
  </si>
  <si>
    <t>Ult HLL 54 W 4000K 100-240V E40 IP65 ND</t>
  </si>
  <si>
    <t>Ess COB DL 30W 6500K 8 Inch 100-240V 20cm IP20 ND</t>
  </si>
  <si>
    <t>Ult HB 200W 4000K  34000 100-240V IP65 ND</t>
  </si>
  <si>
    <t>LDPFM DP 600 16W 840 WV G4 (P-DP06-16W-WV-G4-840)</t>
  </si>
  <si>
    <t>Ult HLL 54 W 6500K 100-240V E40 IP65 ND</t>
  </si>
  <si>
    <t>Ess COB Surface DL 20W 3000K 100-240V 17 cm IP20 ND</t>
  </si>
  <si>
    <t>Ult HB 200W 6500K  34000 100-240V IP65 ND</t>
  </si>
  <si>
    <t>LDPFM DP 600 16W 865 WV G4 (P-DP06-16W-WV-G4-865)</t>
  </si>
  <si>
    <t>Ult HLL 69W 2200K 100-240V E40 IP65 ND</t>
  </si>
  <si>
    <t>Ess COB Surface DL 20W 4000K 100-240V 17 cm IP20 ND</t>
  </si>
  <si>
    <t>Ultimate Floodlight 38W 4000K 100-240V ND</t>
  </si>
  <si>
    <t>LDPFM DP 1200 14W 840 WV G4 (P-DP12-14W-WV-G4-840)</t>
  </si>
  <si>
    <t>1199X77X68mm</t>
  </si>
  <si>
    <t>Ult HLL 69W 2700K 100-240V E40 IP65 ND</t>
  </si>
  <si>
    <t>Ess COB Surface DL 20W 6500K 100-240V 17 cm IP20 ND</t>
  </si>
  <si>
    <t>Ultimate Floodlight 38W 6500K 100-240V ND</t>
  </si>
  <si>
    <t>LDPFM DP 1200 14W 865 WV G4 (P-DP12-14W-WV-G4-865)</t>
  </si>
  <si>
    <t>Ult HLL 69W 4000K 100-240V E40 IP65 ND</t>
  </si>
  <si>
    <t>Ultimate Floodlight 57W 4000K 100-240V ND</t>
  </si>
  <si>
    <t>LDPFM DP 1200 30W 840 WV G4 (P-DP12-30W-WV-G4-840)</t>
  </si>
  <si>
    <t>Ult HLL 69W 6500K 100-240V E40 IP65 ND</t>
  </si>
  <si>
    <t>Ultimate Floodlight 57W 6500K 100-240V ND</t>
  </si>
  <si>
    <t>LDPFM DP 1200 30W 865 WV G4 (P-DP12-30W-WV-G4-865)</t>
  </si>
  <si>
    <t>Ult HLL 88W 2200K 100-240V E40 IP65 ND</t>
  </si>
  <si>
    <t>Ultimate Floodlight 75W 4000K 100-240V ND</t>
  </si>
  <si>
    <t>LDPFM DP 1500 21W 840 WV G4 (P-DP15-21W-WV-G4-840)</t>
  </si>
  <si>
    <t>1499X77X68mm</t>
  </si>
  <si>
    <t>Ult HLL 88W 2700K 100-240V E40 IP65 ND</t>
  </si>
  <si>
    <t>Ess COB Surface DL 40W 3000K 100-240V 30 cm IP20 ND</t>
  </si>
  <si>
    <t>Ultimate Floodlight 75W 6500K 100-240V ND</t>
  </si>
  <si>
    <t>LDPFM DP 1500 21W 865 WV G4 (P-DP15-21W-WV-G4-865)</t>
  </si>
  <si>
    <t>Ult HLL 88W 4000K 100-240V E40 IP65 ND</t>
  </si>
  <si>
    <t>Ess COB Surface DL 40W 4000K 100-240V 30 cm IP20 ND</t>
  </si>
  <si>
    <t>Ultimate Floodlight 113W 4000K 100-240V ND</t>
  </si>
  <si>
    <t>LDPFM DP 1500 43W 840 WV G4 (P-DP15-43W-WV-G4-840)</t>
  </si>
  <si>
    <t>Ult HLL 88W 6500K 100-240V E40 IP65 ND</t>
  </si>
  <si>
    <t>Ess COB Surface DL 40W 6500K 100-240V 30 cm IP20 ND</t>
  </si>
  <si>
    <t>Ultimate Floodlight 113W 6500K 100-240V ND</t>
  </si>
  <si>
    <t>LDPFM DP 1500 43W 865 WV G4 (P-DP15-43W-WV-G4-865)</t>
  </si>
  <si>
    <t>Ult HLL 100W 2200K 100-240V E40 IP65 ND</t>
  </si>
  <si>
    <t>Ess R SMD DL 9W 4000K 4 Inch 220-240V 10±5 IP20 ND</t>
  </si>
  <si>
    <t>Ultimate Floodlight 150W 4000K 100-240V ND</t>
  </si>
  <si>
    <t>LDPFM DP 1500 57W 840 WV G4 (P-DP15-57W-WV-G4-840)</t>
  </si>
  <si>
    <t>Ult HLL 100W 2700K 100-240V E40 IP65 ND</t>
  </si>
  <si>
    <t>Ultimate Floodlight 150W 6500K 100-240V ND</t>
  </si>
  <si>
    <t>LDPFM DP 1500 57W 865 WV G4 (P-DP15-57W-WV-G4-865)</t>
  </si>
  <si>
    <t>Ult HLL 100W 4000K 100-240V E40 IP65 ND</t>
  </si>
  <si>
    <t>Ultimate Floodlight 190W 4000K 100-240V ND</t>
  </si>
  <si>
    <t>1200mm</t>
  </si>
  <si>
    <t>Ult HLL 100W 6500K 100-240V E40 IP65 ND</t>
  </si>
  <si>
    <t>Ultimate Floodlight 190W 6500K 100-240V ND</t>
  </si>
  <si>
    <t>Ess HLL 25W 3000K 2500 220-240V E27 IP20 ND</t>
  </si>
  <si>
    <t>Ultimate High Power Floodlight 400W 840 110D 100-240V IP66 ND</t>
  </si>
  <si>
    <t>600mm</t>
  </si>
  <si>
    <t>Ess HLL 25W 4000K 2500 220-240V E27 IP20 ND</t>
  </si>
  <si>
    <t>Ultimate High Power Floodlight 400W 865 110D 100-240V IP66 ND</t>
  </si>
  <si>
    <t>Ess HLL 25W 6500K 2500 220-240V E27 IP20 ND</t>
  </si>
  <si>
    <t>Ultimate High Power Floodlight 600W 840 90D 100-240V IP66 ND</t>
  </si>
  <si>
    <t>Ess HLL 35W 3000K 3500 220-240V E27 IP20 ND</t>
  </si>
  <si>
    <t>Ultimate High Power Floodlight 600W 865 90D 100-240V IP66 ND</t>
  </si>
  <si>
    <t>Ess HLL 35W 4000K 3500 220-240V E27 IP20 ND</t>
  </si>
  <si>
    <t>Ultimate High Power Floodlight 800W 840 90D 100-240V IP66 ND</t>
  </si>
  <si>
    <t>1500mm</t>
  </si>
  <si>
    <t>Ess HLL 35W 6500K 3500 220-240V E27 IP20 ND</t>
  </si>
  <si>
    <t>5"</t>
  </si>
  <si>
    <t>Ultimate High Power Floodlight 800W 865 90D 100-240V IP66 ND</t>
  </si>
  <si>
    <t>Ess HLL 42W 3000K 4200 220-240V E27 IP20 ND</t>
  </si>
  <si>
    <t>Ultimate High Power Floodlight 1000W 840 90D 100-240V IP66 ND</t>
  </si>
  <si>
    <t>Ess HLL 42W 4000K 4200 220-240V E27 IP20 ND</t>
  </si>
  <si>
    <t>Ultimate High Power Floodlight 1000W 865 90D 100-240V IP66 ND</t>
  </si>
  <si>
    <t>Ess HLL 42W 6500K 4200 220-240V E27 IP20 ND</t>
  </si>
  <si>
    <t>Ultimate High Power Floodlight 1200W 840 90D 100-240V IP66 ND</t>
  </si>
  <si>
    <t>Ess HLL 55W 3000K 5500 220-240V E27 IP20 ND</t>
  </si>
  <si>
    <t>Ultimate High Power Floodlight 1200W 865 90D 100-240V IP66 ND</t>
  </si>
  <si>
    <t>Ess HLL 55W 4000K 5500 220-240V E27 IP20 ND</t>
  </si>
  <si>
    <t>RND-ST660 30W 840</t>
  </si>
  <si>
    <t>Rand Tech</t>
  </si>
  <si>
    <t>Ess HLL 55W 6500K 5500 220-240V E27 IP20 ND</t>
  </si>
  <si>
    <t xml:space="preserve">RND-ST660 45W 840 </t>
  </si>
  <si>
    <t>LVSTICK 7W/827 100-240V E27 10X1KSAOSRAM</t>
  </si>
  <si>
    <t>117/40</t>
  </si>
  <si>
    <t xml:space="preserve">RND-ST660 56W 840 </t>
  </si>
  <si>
    <t xml:space="preserve">RND-ST660 70W 840 </t>
  </si>
  <si>
    <t>LVSTICK 7W/865 100-240V E27 10X1KSAOSRAM</t>
  </si>
  <si>
    <t xml:space="preserve">RND-ST660 100W 840 </t>
  </si>
  <si>
    <t>Fixtures</t>
  </si>
  <si>
    <t>LVSTICK 10W/827 100-240V E2710X1KSAOSRAM</t>
  </si>
  <si>
    <t xml:space="preserve">RND-ST660 130W 840 </t>
  </si>
  <si>
    <t>LVSTICK 10W/840 100-240V E2710X1KSAOSRAM</t>
  </si>
  <si>
    <t xml:space="preserve"> Xceed BRP381  4000K 73W 100-277V</t>
  </si>
  <si>
    <t>4000/6500</t>
  </si>
  <si>
    <t>LVSTICK 10W/865 100-240V E2710X1KSAOSRAM</t>
  </si>
  <si>
    <t>Xceed BRP382 4000K 150W  100-277V</t>
  </si>
  <si>
    <t>LVSTICK 12W/827 100-240V E2710X1KSAOSRAM</t>
  </si>
  <si>
    <t>125/40</t>
  </si>
  <si>
    <t>Xceed BRP381 4000K 110W  100-277V</t>
  </si>
  <si>
    <t>LVSTICK 12W/865 100-240V E2710X1KSAOSRAM</t>
  </si>
  <si>
    <t>Xceed BRP382L  4000K 167W 120-277V</t>
  </si>
  <si>
    <t>LECO CLA 5W/830 230VE2710X10X1G9KSAOSRAM</t>
  </si>
  <si>
    <t>95/55</t>
  </si>
  <si>
    <t xml:space="preserve">Xceed BRP 381 56W 4000K 100-277V </t>
  </si>
  <si>
    <t>Please add new lights here</t>
  </si>
  <si>
    <t>LECO CLA 5W/865 230VE2710X10X1G9KSAOSRAM</t>
  </si>
  <si>
    <t xml:space="preserve">Xceed BRP 381 78W 4000K 100-277V </t>
  </si>
  <si>
    <t>LECO CLA 7W/830 230VE2710X10X1G9KSAOSRAM</t>
  </si>
  <si>
    <t xml:space="preserve">Xceed BRP 381 86W 4000K 100-277V </t>
  </si>
  <si>
    <t>LECO CLA 7W/865 230VE2710X10X1G9KSAOSRAM</t>
  </si>
  <si>
    <t>Xceed BRP384  316W  6500K 100‐277V </t>
  </si>
  <si>
    <t>LECO CLA 9W/830 230VE2710X10X1G9KSAOSRAM</t>
  </si>
  <si>
    <t>106/60</t>
  </si>
  <si>
    <t>Xceed BRP382L  172W 4000K  120-277V</t>
  </si>
  <si>
    <t>LECO CLA 9W/865 230VE2710X10X1G9KSAOSRAM</t>
  </si>
  <si>
    <t xml:space="preserve">VEGA0 4.525 27W </t>
  </si>
  <si>
    <t>VEGA</t>
  </si>
  <si>
    <t>LECO CLA 12W/830230VE2710X10X1G9KSAOSRAM</t>
  </si>
  <si>
    <t>118/60</t>
  </si>
  <si>
    <t>VEGA 2M 4.525 52W</t>
  </si>
  <si>
    <t>LECO CLA 12W/865230VE2710X10X1G9KSAOSRAM</t>
  </si>
  <si>
    <t>VEGA 3M 4.525 78W</t>
  </si>
  <si>
    <t>LECO CLA 14W/830230VE2710X10X1G9KSAOSRAM</t>
  </si>
  <si>
    <t>123/60</t>
  </si>
  <si>
    <t>VEGA 3M 4.7 102W</t>
  </si>
  <si>
    <t>LECO CLA 14W/865230VE2710X10X1G9KSAOSRAM</t>
  </si>
  <si>
    <t>VEGA 5M 4.525 127W</t>
  </si>
  <si>
    <t>LV CLA 7W/830100-240VFRE2710X1G2KSAOSRAM</t>
  </si>
  <si>
    <t>100/55</t>
  </si>
  <si>
    <t>VEGA 4M 4.7 136W</t>
  </si>
  <si>
    <t>LV CLA 7W/840100-240VFRE2710X1G2KSAOSRAM</t>
  </si>
  <si>
    <t>VEGA 5M 4.7 171W</t>
  </si>
  <si>
    <t>LV CLA 7W/865100-240VFRE2710X1G2KSAOSRAM</t>
  </si>
  <si>
    <t>VEGA 6M 4.7 208W</t>
  </si>
  <si>
    <t>LV CLA 9W/830100-240VFRE2710X1G2KSAOSRAM</t>
  </si>
  <si>
    <t>108/60</t>
  </si>
  <si>
    <t>VEGA 7M 4.7 240W</t>
  </si>
  <si>
    <t>LV CLA 9W/840100-240VFRE2710X1G2KSAOSRAM</t>
  </si>
  <si>
    <t>VEGA 8M 4.7 273W</t>
  </si>
  <si>
    <t>LV CLA 9W/865100-240VFRE2710X1G2KSAOSRAM</t>
  </si>
  <si>
    <t>VEGA 9M 4.7 307W</t>
  </si>
  <si>
    <t>LV CLA12W/830100-240VFRE2710X1G2KSAOSRAM</t>
  </si>
  <si>
    <t>110/60</t>
  </si>
  <si>
    <t>VEGA 1M 4.35 18W</t>
  </si>
  <si>
    <t>LV CLA12W/840100-240VFRE2710X1G2KSAOSRAM</t>
  </si>
  <si>
    <t>Xceed BRP382L 4000K 138W  120-277V</t>
  </si>
  <si>
    <t>LV CLA12W/865100-240VFRE2710X1G2KSAOSRAM</t>
  </si>
  <si>
    <t>Xceed BRP381  4000K 103W  100-277V</t>
  </si>
  <si>
    <t>LV CLA15W/830100-240VFRE2710X1G2KSAOSRAM</t>
  </si>
  <si>
    <t>125/60</t>
  </si>
  <si>
    <t>RNDST660NW080</t>
  </si>
  <si>
    <t>LV CLA15W/840100-240VFRE2710X1G2KSAOSRAM</t>
  </si>
  <si>
    <t>RNDST660NW090</t>
  </si>
  <si>
    <t>LV CLA15W/865100-240VFRE2710X1G2KSAOSRAM</t>
  </si>
  <si>
    <t>RNDST660NW105</t>
  </si>
  <si>
    <t>RNDST660NW110</t>
  </si>
  <si>
    <t>LVCLP 5W/830 100-240FR E2710X1G2KSAOSRAM</t>
  </si>
  <si>
    <t>80/45</t>
  </si>
  <si>
    <t>RNDST660NW120</t>
  </si>
  <si>
    <t>LV CLP 5W/865100-240VFRE2710X1G2KSAOSRAM</t>
  </si>
  <si>
    <t>LVCLAH 12W/830100-240FRE2710X1G2KSAOSRAM</t>
  </si>
  <si>
    <t>120/60</t>
  </si>
  <si>
    <t>RNDST660WW153</t>
  </si>
  <si>
    <t>LVCLAH 12W/840100-240FRE2710X1G2KSAOSRAM</t>
  </si>
  <si>
    <t>RNDST660NW165</t>
  </si>
  <si>
    <t>LVCLAH 12W/865100-240FRE2710X1G2KSAOSRAM</t>
  </si>
  <si>
    <t>VEGA 10M 4.475 472W</t>
  </si>
  <si>
    <t>LVCLAH8,5W/830100-240FRE2710X1G2KSAOSRAM</t>
  </si>
  <si>
    <t>VEGA 10M 4.540  536W</t>
  </si>
  <si>
    <t>LVCLAH8,5W/840100-240FRE2710X1G2KSAOSRAM</t>
  </si>
  <si>
    <t xml:space="preserve">VEGA 1m .35 18.9 W </t>
  </si>
  <si>
    <t>LVCLAH8,5W/865100-240FRE2710X1G2KSAOSRAM</t>
  </si>
  <si>
    <t xml:space="preserve">VEGA 1M .500 49.5W </t>
  </si>
  <si>
    <t>LPAR1650 5W/830 230V GU10 10X1G5KSAOSRAM</t>
  </si>
  <si>
    <t>54/50</t>
  </si>
  <si>
    <t xml:space="preserve">VEGA 2M .610 60.5W </t>
  </si>
  <si>
    <t>LPAR1650 5W/840 230V GU10 10X1G5KSAOSRAM</t>
  </si>
  <si>
    <t xml:space="preserve">VEGA 3M .630 92W </t>
  </si>
  <si>
    <t>LPAR1650 5W/865 230V GU10 10X1G5KSAOSRAM</t>
  </si>
  <si>
    <t>LPMR16D5036 8W/927 12V GU5.310X1KSAOSRAM</t>
  </si>
  <si>
    <t>GU5.3</t>
  </si>
  <si>
    <t>46/51</t>
  </si>
  <si>
    <t>LPPAR165036 5.5W/927230VGU1010X1AR7KSAOSRAM</t>
  </si>
  <si>
    <t>52/51</t>
  </si>
  <si>
    <t>LVPAR168036 7W/827230VGU1010X1AR7KSAOSRAM</t>
  </si>
  <si>
    <t>52/50</t>
  </si>
  <si>
    <t>LVPAR165036 4.5W/827230VGU1010X1AR7KSAOSRAM</t>
  </si>
  <si>
    <t>LVPAR165036 4.5W/840230VGU1010X1AR7KSAOSRAM</t>
  </si>
  <si>
    <t>LVPAR165036 4.5W/865230VGU1010X1AR7KSAOSRAM</t>
  </si>
  <si>
    <t xml:space="preserve">LVMR165036 5.5W/82712VGU5.310X1AR7KSAOSRAM </t>
  </si>
  <si>
    <t>44/50</t>
  </si>
  <si>
    <t>LV HW 18W/827 100-240V E2710X1G3KSAOSRAM</t>
  </si>
  <si>
    <t>135/68</t>
  </si>
  <si>
    <t>LV HW 18W/865 100-240V E2710X1G3KSAOSRAM</t>
  </si>
  <si>
    <t>LV HW 27W/827 100-240V E2710X1G3KSAOSRAM</t>
  </si>
  <si>
    <t>108/158</t>
  </si>
  <si>
    <t>datasheet</t>
  </si>
  <si>
    <t>30 x 174 x 232 mm</t>
  </si>
  <si>
    <t>LV HW 27W/865 100-240V E2710X1G3KSAOSRAM</t>
  </si>
  <si>
    <t>36 x 220 x 304 mm</t>
  </si>
  <si>
    <t>LV HW 36W/827 100-240V E2710X1G3KSAOSRAM</t>
  </si>
  <si>
    <t>160/185</t>
  </si>
  <si>
    <t>37 x 282 x 401 mm</t>
  </si>
  <si>
    <t>LV HW 36W/865 100-240V E2710X1G3KSAOSRAM</t>
  </si>
  <si>
    <t>41 x 336 x 474 mm</t>
  </si>
  <si>
    <t>LV HW 45W/827 100-240V E2710X1G3KSAOSRAM</t>
  </si>
  <si>
    <t>230/203</t>
  </si>
  <si>
    <t>52 x 384 x 556 mm</t>
  </si>
  <si>
    <t>LV HW 45W/865 100-240V E2710X1G3KSAOSRAM</t>
  </si>
  <si>
    <t>52 x 449 x 637 mm</t>
  </si>
  <si>
    <t>LV HW 45W/865 100-240V E4010X1G3KSAOSRAM</t>
  </si>
  <si>
    <t>52 x 491 x 692 mm</t>
  </si>
  <si>
    <t>HQLLED 37W/827 100-240V E27 6X1 KSAOSRAM</t>
  </si>
  <si>
    <t>195/80</t>
  </si>
  <si>
    <t>HQLLED 37W/827 100-240V E40 6X1 KSAOSRAM</t>
  </si>
  <si>
    <t>204/80</t>
  </si>
  <si>
    <t>HQLLED 37W/840 100-240V E27 6X1 KSAOSRAM</t>
  </si>
  <si>
    <t>HQLLED 37W/840 100-240V E40 6X1 KSAOSRAM</t>
  </si>
  <si>
    <t>HQLLED 70W/840 100-240V E40 6X1 KSAOSRAM</t>
  </si>
  <si>
    <t>270/110</t>
  </si>
  <si>
    <t>HQLLED 36W/822 100-240V E40 6X1 KSAOSRAM</t>
  </si>
  <si>
    <t>HQLLED 70W/822 100-240V E40 6X1 KSAOSRAM</t>
  </si>
  <si>
    <t>HQLLED 70W/827 100-240V E40 6X1 KSAOSRAM</t>
  </si>
  <si>
    <t>HQLLED 36W/822 100-240V E27 6X1 KSAOSRAM</t>
  </si>
  <si>
    <t>HQLLED180016W/827230VPROE276X1G3KSAOSRAM</t>
  </si>
  <si>
    <t>153/75</t>
  </si>
  <si>
    <t>HQLLED200016W/840230VPROE276X1G3KSAOSRAM</t>
  </si>
  <si>
    <t>HQLLED270023W/827230VPROE276X1G3KSAOSRAM</t>
  </si>
  <si>
    <t>145/76</t>
  </si>
  <si>
    <t>HQLLED300023W/840230VPROE276X1G3KSAOSRAM</t>
  </si>
  <si>
    <t>HQLLED360030W/827230VPROE276X1G3KSAOSRAM</t>
  </si>
  <si>
    <t>170/75</t>
  </si>
  <si>
    <t>HQLLED400030W/840230VPROE276X1G3KSAOSRAM</t>
  </si>
  <si>
    <t>DLStick 7.5W E27 3000K 1PF/12 KSA</t>
  </si>
  <si>
    <t>DLStick 7.5W E27 6500K 1PF/12 KSA</t>
  </si>
  <si>
    <t>DLStick 9.5W E27 3000K 1PF/12 KSA</t>
  </si>
  <si>
    <t>DLStick 9.5W E27 6500K 1PF/12 KSA</t>
  </si>
  <si>
    <t>DLStick 11W E27 6500K 1PF/12 KSA</t>
  </si>
  <si>
    <t>LEDBulb 7W E27 3000K 230V 1CT/12 KSA</t>
  </si>
  <si>
    <t>LEDBulb 7W E27 6500K 230V 1CT/12 KSA</t>
  </si>
  <si>
    <t>LEDBulb 9W E27 3000K 230V 1CT/12 KSA</t>
  </si>
  <si>
    <t>LEDBulb 9W E27 6500K 230V 1CT/12 KSA</t>
  </si>
  <si>
    <t>LEDBulb 12W E27 3000K 230V 1CT/12 KSA</t>
  </si>
  <si>
    <t>LEDBulb 12W E27 6500K 230V 1CT/12 KSA</t>
  </si>
  <si>
    <t>LEDClassic 4.6-50W GU10 830 36D</t>
  </si>
  <si>
    <t>ESSLEDCandle 6.5W E14 827 B35NDFR KSA</t>
  </si>
  <si>
    <t>TForce Core HB 35W E27 830 GN3 KSA</t>
  </si>
  <si>
    <t>TForce Core HB 35W E27 865 GN3 KSA</t>
  </si>
  <si>
    <t>TForce Core HB 42W E27 830 GN3 KSA</t>
  </si>
  <si>
    <t>TForce Core HB 42W E27 865 GN3 KSA</t>
  </si>
  <si>
    <t>LED_Panel_light</t>
  </si>
  <si>
    <t>LED_Flood_Light</t>
  </si>
  <si>
    <t>BVP151LED120/CW 120-277V 100W SWB 6500K</t>
  </si>
  <si>
    <t>BVP151LED180/NW 120-277V 150W SWB  4000K</t>
  </si>
  <si>
    <t>BVP151LED60/NW 120-277V 50W SWB  4000K</t>
  </si>
  <si>
    <t>BVP151LED60/NW 120-277V 70W SWB  4000K</t>
  </si>
  <si>
    <t>RC199VLED40/830 PSU W60L60 UE KSA</t>
  </si>
  <si>
    <t>RC199VLED57/830 PSU W60L120 UE KSA</t>
  </si>
  <si>
    <t>RC099V G3LED38/830 PSU W60L60 HE</t>
  </si>
  <si>
    <t>RC199VLED40/840 PSU W60L60 UE KSA</t>
  </si>
  <si>
    <t>RC199VLED57/840 PSU W60L120 UE KSA</t>
  </si>
  <si>
    <t>RC099V G3LED38/840 PSU W60L60 HE</t>
  </si>
  <si>
    <t>RC199VLED40/865 PSU W60L60 UE KSA</t>
  </si>
  <si>
    <t>RC199VLED57/865 PSU W60L120 UE KSA</t>
  </si>
  <si>
    <t>RC099V G3LED38/865 PSU W60L60 HE</t>
  </si>
  <si>
    <t>DN390BLED7/840 P6PSU D100 WH GMG2HE</t>
  </si>
  <si>
    <t>DN391BLED15/840 P11PSU D100 WH GMG2HE</t>
  </si>
  <si>
    <t>MASLEDtube 1200mm HO 13.5W840 T8</t>
  </si>
  <si>
    <t>DN392BLED20/840 P14PSU D150 WH GMG2HE</t>
  </si>
  <si>
    <t>MASLEDtube 1200mm HO 13.5W865 T8</t>
  </si>
  <si>
    <t>DN392BLED20/840 P14PSU D200 WH GMG2HE</t>
  </si>
  <si>
    <t>MASLEDtube VLE 600mm HO 5.3W 840 T8</t>
  </si>
  <si>
    <t>DN393BLED26/840 P19PSU D200 WH GMG2HE</t>
  </si>
  <si>
    <t>MASLEDtube VLE 600mm HO 5.3W 865 T8</t>
  </si>
  <si>
    <t>DN394BLED40/840 P29PSU D200 WH GMG2HE</t>
  </si>
  <si>
    <t>MASLEDtube VLE 1200mm HO 8.7W 840 T8</t>
  </si>
  <si>
    <t>DN590BLED17/840 P10PSU D150 WB UE G2</t>
  </si>
  <si>
    <t>MASLEDtube VLE 1200mm HO 8.7W 865 T8</t>
  </si>
  <si>
    <t>DN591BLED23/840 P13PSU D200 WB UE G2</t>
  </si>
  <si>
    <t>MASLEDtube VLE 1500mm HO 18.2W 840 T8</t>
  </si>
  <si>
    <t>DN589BLED12/840 P7PSU D125 WB UE G2</t>
  </si>
  <si>
    <t>MASLEDtube VLE 1500mm HO 18.2W 865 T8</t>
  </si>
  <si>
    <t>DN594BLED42/840 P30PSU D200 VWB-M G2</t>
  </si>
  <si>
    <t>CoreProLEDtube 1200mm 16W840 G5 I APR</t>
  </si>
  <si>
    <t>DN390BLED7/865 P6PSU D100 WH GMG2HE</t>
  </si>
  <si>
    <t>CoreProLEDtube 1200mm 16W865 G5 I APR</t>
  </si>
  <si>
    <t>DN391BLED15/865 P11PSU D100 WH GMG2HE</t>
  </si>
  <si>
    <t>CoreProLEDtube 600mm 8W840 G5 I APR</t>
  </si>
  <si>
    <t>DN392BLED20/865 P14PSU D150 WH GMG2HE</t>
  </si>
  <si>
    <t>CoreProLEDtube 600mm 8W865 G5 I APR</t>
  </si>
  <si>
    <t>DN392BLED20/865 P14PSU D200 WH GMG2HE</t>
  </si>
  <si>
    <t>MASLEDtube 1500mm HE 20W 865 T5 KSA</t>
  </si>
  <si>
    <t>DN393BLED26/865 P19PSU D200 WH GMG2HE</t>
  </si>
  <si>
    <t>DN394BLED40/865 P29PSU D200 WH GMG2HE</t>
  </si>
  <si>
    <t>MASLEDtube 1500mm HO 26W 840 T5</t>
  </si>
  <si>
    <t>DN590BLED17/865 P10PSU D150 WB UE G2</t>
  </si>
  <si>
    <t>DN591BLED23/865 P13PSU D200 WB UE G2</t>
  </si>
  <si>
    <t>BN398CLED20/NW L1200 PSU OP HE</t>
  </si>
  <si>
    <t>DN589BLED12/865 P7PSU D125 WB UE G2</t>
  </si>
  <si>
    <t>BN398CLED40/NW L1200 PSU OP HE</t>
  </si>
  <si>
    <t>DN594BLED42/865 P30PSU D200 VWB-M G2</t>
  </si>
  <si>
    <t>BN398CLED69/NW L1200 PSU OP HE</t>
  </si>
  <si>
    <t>BN398CLED20/NW L600 PSU OP</t>
  </si>
  <si>
    <t>WT198CLED19S/840 PSU L600</t>
  </si>
  <si>
    <t>WT198CLED40S/840 PSU L1200</t>
  </si>
  <si>
    <t>WT198CLED80S/840 PSU L1500</t>
  </si>
  <si>
    <t>BY698P G5LED105/NW PSU WB GM</t>
  </si>
  <si>
    <t>BY698P G5LED150/NW PSU WB GM</t>
  </si>
  <si>
    <t>BY698P G5LED200/NW PSU WB GM</t>
  </si>
  <si>
    <t>BY698P G5LED250/NW PSU WB GM</t>
  </si>
  <si>
    <t>BY698P G5LED300/NW PSU WB GM</t>
  </si>
  <si>
    <t>BY698P G5LED105/CW PSU WB GM</t>
  </si>
  <si>
    <t>BY698P G5LED150/CW PSU WB GM</t>
  </si>
  <si>
    <t>BY698P G5LED200/CW PSU WB GM</t>
  </si>
  <si>
    <t>BY698P G5LED250/CW PSU WB GM</t>
  </si>
  <si>
    <t>BY698P G5LED300/CW PSU WB GM</t>
  </si>
  <si>
    <t>BVP158LED60/WW_NW_CW PSU 50W SWB</t>
  </si>
  <si>
    <t>BVP158LED120/WW_NW_CW PSU 100W SWB</t>
  </si>
  <si>
    <t>BVP158LED180/WW_NW_CW PSU 150W SWB</t>
  </si>
  <si>
    <t>BVP158LED240/WW_NW_CW PSU 200W SWB</t>
  </si>
  <si>
    <t>BVP231LED360/CW PSU 300W 120-277V SWB</t>
  </si>
  <si>
    <t>BVP232LED480/CW PSU 400W 120-277V SWB</t>
  </si>
  <si>
    <t>BVP233LED600/CW PSU 500W 120-277V SWB</t>
  </si>
  <si>
    <t>TForceLED HPL ND 30-21W E27 830</t>
  </si>
  <si>
    <t>TForceLED HPL ND 30-21W E27 840</t>
  </si>
  <si>
    <t>TForceLED HPL ND 40-28W E27 830</t>
  </si>
  <si>
    <t>TForceLED HPL ND 40-28W E27 840</t>
  </si>
  <si>
    <t>TForceLED HPL ND 60-42W E27 830</t>
  </si>
  <si>
    <t>TForceLED HPL ND 60-42W E27 840</t>
  </si>
  <si>
    <t>TForceLED HPL ND 60-42W E40 830</t>
  </si>
  <si>
    <t>TForceLED HPL ND 60-42W E40 840</t>
  </si>
  <si>
    <t>MASLED SON-T EM 3.6Klm 23W 727 E27</t>
  </si>
  <si>
    <t>MASLED SON-T EM 5.4Klm 34W 727 E27</t>
  </si>
  <si>
    <t>MASLED SON-T EM 9Klm 50W 740 E40</t>
  </si>
  <si>
    <t>MASLED SON-T EM 12Klm 65W 740 E40</t>
  </si>
  <si>
    <t>MASLED SON-T UE M 9Klm 42.8W 740 E40</t>
  </si>
  <si>
    <t>CCT</t>
  </si>
  <si>
    <t>Model #</t>
  </si>
  <si>
    <t>Savings%</t>
  </si>
  <si>
    <t>ESCO Reply  - R0 (x.xx.xxxx)</t>
  </si>
  <si>
    <t>LED HQL</t>
  </si>
  <si>
    <t>Fix Wattage</t>
  </si>
  <si>
    <t/>
  </si>
  <si>
    <t/>
  </si>
  <si>
    <t>Fix Qunatity</t>
  </si>
  <si>
    <t/>
  </si>
  <si>
    <t/>
  </si>
  <si>
    <t>Lighting Selection S.N</t>
  </si>
  <si>
    <t>Light_Selection</t>
  </si>
  <si>
    <t/>
  </si>
  <si>
    <t/>
  </si>
  <si>
    <t/>
  </si>
  <si>
    <t/>
  </si>
  <si>
    <t/>
  </si>
  <si>
    <t/>
  </si>
  <si>
    <t/>
  </si>
  <si>
    <t/>
  </si>
  <si>
    <t/>
  </si>
  <si>
    <t/>
  </si>
  <si>
    <t/>
  </si>
  <si>
    <t/>
  </si>
  <si>
    <t/>
  </si>
  <si>
    <t>Sheet shall fill only with unique information like Building Name ,unique spLighte type and unique operation hours for the Light.</t>
  </si>
  <si>
    <t>If the building has multiple Light's with same spLighte type and same operation hours fill it once under the building Name.</t>
  </si>
  <si>
    <t>Fillout no of days Light working per week &amp; no of weeks Light working per year.</t>
  </si>
  <si>
    <t>If Light's are not operating during vLightation / off days, fill only working weeks and mention which weeks are not in operation.</t>
  </si>
  <si>
    <t xml:space="preserve">Fill out the Operating Hours tab based on the approved operating hours by area and location recived from the entity. The </t>
  </si>
  <si>
    <t>Fill out the  Sheet "OH"</t>
  </si>
  <si>
    <t>Fill out the  Sheet "Light_Savings"</t>
  </si>
  <si>
    <t>Light_Savings</t>
  </si>
  <si>
    <t>Select "Building Name" from dropdown list, followed by location description which contains spLighte type ,these location are only for the selcted building, other details will be
autogenerated linked to OH table.</t>
  </si>
  <si>
    <t>Fillout above selected spLighte Floor no and existing Light area served in sq. meter.</t>
  </si>
  <si>
    <t>Fillout existing Light qty in that spLighte. Qty can be merged together if the spLighte type, Light opertaion timing and existing model specification are same.</t>
  </si>
  <si>
    <t>Site Survey &amp; Collection of the Light details</t>
  </si>
  <si>
    <t>Start by filling out the Light_Selection Tab. This tab includes all registerd old models and also all registered new models. Just selected the existing old model and proposed replLightement.</t>
  </si>
  <si>
    <t>If models do not exist contLightt the Technical team</t>
  </si>
  <si>
    <t>SN</t>
  </si>
  <si>
    <t>Energy Savings
(kWh)</t>
  </si>
  <si>
    <t>% Savings</t>
  </si>
  <si>
    <t/>
  </si>
  <si>
    <t/>
  </si>
  <si>
    <t>Control- Baselined kWh</t>
  </si>
  <si>
    <t>Control - Savings  kWh</t>
  </si>
  <si>
    <t>Round-4"</t>
  </si>
  <si>
    <t>Round-6"</t>
  </si>
  <si>
    <t>Round-8"</t>
  </si>
  <si>
    <t>Round-3"</t>
  </si>
  <si>
    <t>Round-6"-8"</t>
  </si>
  <si>
    <t>Round-12"</t>
  </si>
  <si>
    <t>Round-5"</t>
  </si>
  <si>
    <t>Conv-FTL-T8-1.5M-1X-56W</t>
  </si>
  <si>
    <t>4Pin</t>
  </si>
  <si>
    <t>E28</t>
  </si>
  <si>
    <t>E29</t>
  </si>
  <si>
    <t>Summary Table Projects units</t>
  </si>
  <si>
    <t/>
  </si>
  <si>
    <t/>
  </si>
  <si>
    <t>Baseline Unit Description</t>
  </si>
  <si>
    <t>Baseline Lighting Consumption (kWh)</t>
  </si>
  <si>
    <t>Project Lighting Consumption(kWh)</t>
  </si>
  <si>
    <t>Project Unit Description</t>
  </si>
  <si>
    <t>Baseline unit Description</t>
  </si>
  <si>
    <t>Baseline Energy Consumption (kWh)</t>
  </si>
  <si>
    <t>Energy Consumption of Project Lighting Units
(kWh)</t>
  </si>
  <si>
    <t>Fanoos</t>
  </si>
  <si>
    <t>52X</t>
  </si>
  <si>
    <t>24X</t>
  </si>
  <si>
    <t>Table Light</t>
  </si>
  <si>
    <t>Lock</t>
  </si>
  <si>
    <t>0X</t>
  </si>
  <si>
    <t>Exit Light</t>
  </si>
  <si>
    <t>Steplight</t>
  </si>
  <si>
    <t>Lutch Light</t>
  </si>
  <si>
    <t>Footlamp</t>
  </si>
  <si>
    <t>12" Downlight</t>
  </si>
  <si>
    <t>Floor Light</t>
  </si>
  <si>
    <t>HQL</t>
  </si>
  <si>
    <t>E40 High Bay</t>
  </si>
  <si>
    <t xml:space="preserve">Downlight </t>
  </si>
  <si>
    <t>Pole Lamp</t>
  </si>
  <si>
    <t xml:space="preserve">12" </t>
  </si>
  <si>
    <t>12" E27</t>
  </si>
  <si>
    <t>20X</t>
  </si>
  <si>
    <t>T20</t>
  </si>
  <si>
    <t>8X</t>
  </si>
  <si>
    <t>6X</t>
  </si>
  <si>
    <t>11X</t>
  </si>
  <si>
    <t/>
  </si>
  <si>
    <t>1.5m</t>
  </si>
  <si>
    <t>T12</t>
  </si>
  <si>
    <t>surface 8"</t>
  </si>
  <si>
    <t>surface 10"</t>
  </si>
  <si>
    <t/>
  </si>
  <si>
    <t/>
  </si>
  <si>
    <t/>
  </si>
  <si>
    <t/>
  </si>
  <si>
    <t/>
  </si>
  <si>
    <t/>
  </si>
  <si>
    <t/>
  </si>
  <si>
    <t/>
  </si>
  <si>
    <t>Bulb E27</t>
  </si>
  <si>
    <t xml:space="preserve"> E27</t>
  </si>
  <si>
    <t>60*60</t>
  </si>
  <si>
    <t>120*60</t>
  </si>
  <si>
    <t>10*10-</t>
  </si>
  <si>
    <t>12in-</t>
  </si>
  <si>
    <t>17in-</t>
  </si>
  <si>
    <t>Surface</t>
  </si>
  <si>
    <t>8in</t>
  </si>
  <si>
    <t>Surface 6in</t>
  </si>
  <si>
    <t>Surface 8in</t>
  </si>
  <si>
    <t>LED HLL</t>
  </si>
  <si>
    <t>DL Celinder</t>
  </si>
  <si>
    <t>Street-</t>
  </si>
  <si>
    <t xml:space="preserve">Ult BL UE 19W 4000K 3800 100-240V 60x60 PANEL IP20 ND UGR&lt;22 </t>
  </si>
  <si>
    <t xml:space="preserve">84194012246-Ult BL UE 20W 4000K 4000LM 100-277V 60x60 PANEL IP20 ND UGR&lt;22 </t>
  </si>
  <si>
    <t>1x</t>
  </si>
  <si>
    <t>LED- Eco Surface Mounted DownLigth 6" - 18w</t>
  </si>
  <si>
    <t>LED- Eco Surface Mounted DownLigth 8" - 24w</t>
  </si>
  <si>
    <t>FloodLight</t>
  </si>
  <si>
    <t>E40-</t>
  </si>
  <si>
    <t>E27-</t>
  </si>
  <si>
    <t>Bulb-</t>
  </si>
  <si>
    <t>HW</t>
  </si>
  <si>
    <t>Conv-CFL-4Pin-1X-35W</t>
  </si>
  <si>
    <t>Conv-CFL-E27-1X-12W</t>
  </si>
  <si>
    <t>Conv-CFL-E27-1X-15W</t>
  </si>
  <si>
    <t>Conv-CFL-E27-1X-18W</t>
  </si>
  <si>
    <t>Conv-CFL-E27-1X-20W</t>
  </si>
  <si>
    <t>Conv-CFL-E27-1X-23W</t>
  </si>
  <si>
    <t>Conv-CFL-E27-1X-40W</t>
  </si>
  <si>
    <t>Conv-CFL-E27-1X-70W</t>
  </si>
  <si>
    <t>Conv-FTL-T8-0.6M-1X-18W</t>
  </si>
  <si>
    <t>Conv-FTL-T8-0.6M-1X-20W</t>
  </si>
  <si>
    <t>Conv-FTL-T8-1.2M-1X-14W</t>
  </si>
  <si>
    <t>Conv-FTL-T8-1.2M-1X-16W</t>
  </si>
  <si>
    <t>Conv-FTL-T8-1.2M-1X-18W</t>
  </si>
  <si>
    <t>Conv-FTL-T8-1.2M-1X-20W</t>
  </si>
  <si>
    <t>Conv-FTL-T8-1.2M-1X-24W</t>
  </si>
  <si>
    <t>Conv-FTL-T8-1.2M-1X-28W</t>
  </si>
  <si>
    <t>Conv-FTL-T8-1.2M-1X-36W</t>
  </si>
  <si>
    <t>Conv-Halogen-Flood Light-1X-150W</t>
  </si>
  <si>
    <t>Conv-Halogen-Flood Light-1X-200W</t>
  </si>
  <si>
    <t>Conv-Halogen-Flood Light-1X-250W</t>
  </si>
  <si>
    <t>Conv-Halogen-Spot Light-1X-25W</t>
  </si>
  <si>
    <t>Conv-HPS-High Bay-1X-250W</t>
  </si>
  <si>
    <t>Conv-HPS-Street Light-1X-150W</t>
  </si>
  <si>
    <t>Conv-HPS-Street Light-1X-200W</t>
  </si>
  <si>
    <t>Conv-HPS-Street Light-1X-250W</t>
  </si>
  <si>
    <t>Conv-HPS-Street Light-1X-400W</t>
  </si>
  <si>
    <t>Conv-MH-Downlight-1X-70W</t>
  </si>
  <si>
    <t>Conv-MH-Flood Light-1X-400W</t>
  </si>
  <si>
    <t>Conv-MH-Flood Light-1X-70W</t>
  </si>
  <si>
    <t>Conv-mh-High Bay-1X-100W</t>
  </si>
  <si>
    <t>Conv-MH-High Bay-1X-400W</t>
  </si>
  <si>
    <t>Conv-MH-HQL-E40-1X-250W</t>
  </si>
  <si>
    <t>Conv-MH-HQL-E40-1X-400W</t>
  </si>
  <si>
    <t>Conv-MV-E27-Bulb-1X-60W</t>
  </si>
  <si>
    <t>LED_Bulb-E27-1X-10W</t>
  </si>
  <si>
    <t>LED_Bulb-E27-1X-12W</t>
  </si>
  <si>
    <t>LED_Bulb-E27-1X-15W</t>
  </si>
  <si>
    <t>LED_Bulb-E27-1X-20W</t>
  </si>
  <si>
    <t>LED_Bulb-E27-1X-50W</t>
  </si>
  <si>
    <t>LED_Bulb-E27-1X-9W</t>
  </si>
  <si>
    <t>LED_Bulb-HQL-1X-40W</t>
  </si>
  <si>
    <t>LED_Bulb-HQL-E27-1X-125W</t>
  </si>
  <si>
    <t>LED_Bulb-HQL-E27-1X-80W</t>
  </si>
  <si>
    <t>LED_Downlight-4''-1X-10W</t>
  </si>
  <si>
    <t>LED_Downlight-4''-1X-15W</t>
  </si>
  <si>
    <t>LED_Downlight-6"-1X-18W</t>
  </si>
  <si>
    <t>LED_Downlight-6''-1X-20W</t>
  </si>
  <si>
    <t>LED_Downlight-8"-1X-18W</t>
  </si>
  <si>
    <t>LED_Downlight-8''-1X-30W</t>
  </si>
  <si>
    <t>LED_Flood_Light--1X-600W</t>
  </si>
  <si>
    <t>LED_Flood_Light-Flood Light-1X-100W</t>
  </si>
  <si>
    <t>LED_Flood_Light-Flood Light-1X-150W</t>
  </si>
  <si>
    <t>LED_Flood_Light-Flood Light-1X-200W</t>
  </si>
  <si>
    <t>LED_Flood_Light-Flood Light-1X-400W</t>
  </si>
  <si>
    <t>LED_Flood_Light-Flood Light-1X-50W</t>
  </si>
  <si>
    <t>LED_High_Bay-High Bay-1X-150W</t>
  </si>
  <si>
    <t>LED_High_Bay-High Bay-1X-400W</t>
  </si>
  <si>
    <t>LED_Panel_light-60X60-1X-40W</t>
  </si>
  <si>
    <t>LED_Panel_light-60X60-1X-48W</t>
  </si>
  <si>
    <t>LED_Panel_light-60X60-1X-72W</t>
  </si>
  <si>
    <t>LED_Spot_Light-Spot Light-1X-7W</t>
  </si>
  <si>
    <t>LED_Street_Light-Street Light-1X-150W</t>
  </si>
  <si>
    <t>LED_Tube--0.6M-1X-10W</t>
  </si>
  <si>
    <t>60x60</t>
  </si>
  <si>
    <t>LED Bulb-Honeywell-E27-12W-4000K-1200Lm</t>
  </si>
  <si>
    <t>LED Down Light-Honeywell-Round-4"-5.5W-4000K-721Lm</t>
  </si>
  <si>
    <t>LED Candle Light-Honeywell-E14-5W-4000K-500Lm</t>
  </si>
  <si>
    <t>LED Bulb-Honeywell-E27-17.7W-4000K-1770Lm</t>
  </si>
  <si>
    <t>LED Bulb-Honeywell-E27-7W-4000K-700Lm</t>
  </si>
  <si>
    <t>LED Bulb-Honeywell-E27-9W-4000K-900Lm</t>
  </si>
  <si>
    <t>LED Tube-Honeywell-T8-5.2W-4000K-1000Lm</t>
  </si>
  <si>
    <t>LED Tube-Honeywell-T8-8.7W-4000K-1800Lm</t>
  </si>
  <si>
    <t>LED Flood Light-LEDVANCE-Square-10W-4000K-1550Lm</t>
  </si>
  <si>
    <t>LED Flood Light-LEDVANCE-Square-25W-4000K-4000Lm</t>
  </si>
  <si>
    <t>LED Street Light-Philips---78W-4000K-12000Lm</t>
  </si>
  <si>
    <t>LED Down Light-Honeywell-Round-8"-27W-4000K-3834Lm</t>
  </si>
  <si>
    <t>LED Bulb-Osram-E27-12W-4000K-1521Lm</t>
  </si>
  <si>
    <t>LED Down Light-Honeywell-Round-6"-11W-4000K-1562Lm</t>
  </si>
  <si>
    <t>LED Down Light-LEDVANCE-Round-8"-18W-4000K-2520Lm</t>
  </si>
  <si>
    <t>LED Flood Light-Honeywell---57W-4000K-9120Lm</t>
  </si>
  <si>
    <t>LED Flood Light-Honeywell---75W-4000K-12000Lm</t>
  </si>
  <si>
    <t>LED Flood Light-LEDVANCE-Square-108W-4000K-17280Lm</t>
  </si>
  <si>
    <t>LED Flood Light-Honeywell---190W-4000K-30400Lm</t>
  </si>
  <si>
    <t>LED Panel-Honeywell-Square-19W-4000K-3800Lm</t>
  </si>
  <si>
    <t>LED Spot Light-Honeywell-GU10-2.85W-4000K-500Lm</t>
  </si>
  <si>
    <t>LED Stick-Honeywell-E27-10W-4000K-1200Lm</t>
  </si>
  <si>
    <t>LED HQL-Osram-E27-16W-4000K-2000Lm</t>
  </si>
  <si>
    <t>LED High Watt Bulb-Honeywell-E27-25W-4000K-4375Lm</t>
  </si>
  <si>
    <t>LED High Bay-Honeywell---75W-4000K-12750Lm</t>
  </si>
  <si>
    <t>LED HQL-Osram-E27-23W-4000K-3000Lm</t>
  </si>
  <si>
    <t>LED Down Light-Honeywell-Round-8"-14W-4000K-1988Lm</t>
  </si>
  <si>
    <t>LED Panel-Honeywell-Square-20W-4000K-4000Lm</t>
  </si>
  <si>
    <t>LED Flood Light-LEDVANCE-Square-143W-4000K-22880Lm</t>
  </si>
  <si>
    <t>LED High Bay-Honeywell---120W-4000K-20400Lm</t>
  </si>
  <si>
    <t>LED HQL-Osram-E40-70W-4000K-12000Lm</t>
  </si>
  <si>
    <t>LED High Bay-LEDVANCE-UFO-200W-4000K-32000Lm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</si>
  <si>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</si>
  <si>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</si>
  <si>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</si>
  <si>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</si>
  <si>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</si>
  <si>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</si>
  <si>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</si>
  <si>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</si>
  <si>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</si>
  <si>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</si>
  <si>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</si>
  <si>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</si>
  <si>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</si>
  <si>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</si>
  <si>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</si>
  <si>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</si>
  <si>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</si>
  <si>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</si>
  <si>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</si>
  <si>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</si>
  <si>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</si>
  <si>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</si>
  <si>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</si>
  <si>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</si>
  <si>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</si>
  <si>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</si>
  <si>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</si>
  <si>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</si>
  <si>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</si>
  <si>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</si>
  <si>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</si>
  <si>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</si>
  <si>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</si>
  <si>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</si>
  <si>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</si>
  <si>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</si>
  <si>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</si>
  <si>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</si>
  <si>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</si>
  <si>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</si>
  <si>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</si>
  <si>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</si>
  <si>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</si>
  <si>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</si>
  <si>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</si>
  <si>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</si>
  <si>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</si>
  <si>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</si>
  <si>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</si>
  <si>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</si>
  <si>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</si>
  <si>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</si>
  <si>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</si>
  <si>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</si>
  <si>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</si>
  <si>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</si>
  <si>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</si>
  <si>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</si>
  <si>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</si>
  <si>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</si>
  <si>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</si>
  <si>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</si>
  <si>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</si>
  <si>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</si>
  <si>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</si>
  <si>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</si>
  <si>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</si>
  <si>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</si>
  <si>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</si>
  <si>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</si>
  <si>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</si>
  <si>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</si>
  <si>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</si>
  <si>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</si>
  <si>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</si>
  <si>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</si>
  <si>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</si>
  <si>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</si>
  <si>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</si>
  <si>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</si>
  <si>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</si>
  <si>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</si>
  <si>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</si>
  <si>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</si>
  <si>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</si>
  <si>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</si>
  <si>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</si>
  <si>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</si>
  <si>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</si>
  <si>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</si>
  <si>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</si>
  <si>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</si>
  <si>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</si>
  <si>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</si>
  <si>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</si>
  <si>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</si>
  <si>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</si>
  <si>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</si>
  <si>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</si>
  <si>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</si>
  <si>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</si>
  <si>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</si>
  <si>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</si>
  <si>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</si>
  <si>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LED Stick-Honeywell-E27-7W-4000K-840Lm</t>
  </si>
  <si>
    <t>LED Stick-Honeywell-E27-9W-4000K-1080Lm</t>
  </si>
  <si>
    <t>LED HQL-Osram-E27-37W-4000K-6000Lm</t>
  </si>
  <si>
    <t>LED Flood Light-Ledvance-Square-400W-4000K-48000Lm</t>
  </si>
  <si>
    <t>LDPFM FL HP400W 840 40X85D MVVS1KSALEDV</t>
  </si>
  <si>
    <t>522×466×152 mm</t>
  </si>
  <si>
    <t>LED_Candle_Light-E14-1X-5W</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</si>
  <si>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</si>
  <si>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</si>
  <si>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</si>
  <si>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</si>
  <si>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</si>
  <si>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</si>
  <si>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</si>
  <si>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</si>
  <si>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</si>
  <si>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</si>
  <si>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</si>
  <si>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</si>
  <si>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</si>
  <si>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</si>
  <si>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</si>
  <si>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</si>
  <si>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</si>
  <si>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</si>
  <si>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</si>
  <si>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</si>
  <si>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</si>
  <si>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</si>
  <si>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</si>
  <si>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</si>
  <si>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</si>
  <si>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</si>
  <si>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</si>
  <si>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</si>
  <si>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</si>
  <si>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</si>
  <si>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</si>
  <si>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</si>
  <si>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</si>
  <si>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</si>
  <si>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</si>
  <si>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</si>
  <si>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</si>
  <si>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</si>
  <si>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</si>
  <si>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</si>
  <si>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</si>
  <si>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</si>
  <si>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</si>
  <si>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</si>
  <si>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</si>
  <si>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</si>
  <si>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</si>
  <si>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</si>
  <si>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</si>
  <si>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</si>
  <si>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</si>
  <si>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</si>
  <si>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</si>
  <si>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</si>
  <si>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</si>
  <si>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</si>
  <si>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</si>
  <si>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</si>
  <si>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</si>
  <si>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</si>
  <si>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</si>
  <si>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</si>
  <si>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</si>
  <si>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</si>
  <si>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</si>
  <si>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</si>
  <si>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</si>
  <si>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</si>
  <si>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</si>
  <si>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</si>
  <si>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</si>
  <si>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</si>
  <si>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</si>
  <si>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</si>
  <si>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</si>
  <si>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</si>
  <si>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</si>
  <si>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</si>
  <si>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</si>
  <si>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</si>
  <si>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</si>
  <si>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</si>
  <si>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</si>
  <si>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</si>
  <si>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</si>
  <si>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</si>
  <si>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</si>
  <si>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</si>
  <si>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</si>
  <si>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</si>
  <si>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</si>
  <si>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</si>
  <si>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</si>
  <si>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</si>
  <si>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</si>
  <si>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</si>
  <si>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</si>
  <si>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</si>
  <si>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</si>
  <si>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</si>
  <si>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</si>
  <si>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</si>
  <si>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</si>
  <si>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</si>
  <si>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</si>
  <si>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</si>
  <si>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</si>
  <si>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</si>
  <si>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</si>
  <si>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</si>
  <si>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</si>
  <si>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</si>
  <si>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</si>
  <si>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</si>
  <si>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</si>
  <si>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</si>
  <si>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</si>
  <si>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</si>
  <si>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</si>
  <si>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</si>
  <si>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</si>
  <si>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</si>
  <si>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</si>
  <si>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</si>
  <si>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</si>
  <si>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</si>
  <si>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</si>
  <si>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</si>
  <si>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</si>
  <si>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</si>
  <si>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</si>
  <si>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</si>
  <si>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</si>
  <si>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</si>
  <si>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</si>
  <si>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</si>
  <si>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</si>
  <si>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</si>
  <si>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</si>
  <si>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</si>
  <si>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</si>
  <si>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</si>
  <si>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</si>
  <si>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</si>
  <si>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</si>
  <si>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</si>
  <si>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</si>
  <si>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</si>
  <si>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</si>
  <si>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</si>
  <si>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</si>
  <si>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</si>
  <si>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</si>
  <si>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</si>
  <si>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</si>
  <si>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</si>
  <si>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</si>
  <si>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</si>
  <si>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</si>
  <si>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</si>
  <si>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</si>
  <si>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</si>
  <si>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</si>
  <si>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</si>
  <si>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</si>
  <si>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</si>
  <si>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</si>
  <si>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</si>
  <si>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</si>
  <si>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</si>
  <si>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</si>
  <si>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</si>
  <si>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</si>
  <si>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</si>
  <si>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</si>
  <si>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</si>
  <si>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</si>
  <si>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</si>
  <si>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</si>
  <si>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</si>
  <si>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</si>
  <si>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</si>
  <si>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</si>
  <si>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</si>
  <si>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</si>
  <si>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</si>
  <si>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</si>
  <si>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</si>
  <si>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</si>
  <si>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</si>
  <si>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</si>
  <si>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</si>
  <si>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</si>
  <si>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</si>
  <si>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</si>
  <si>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</si>
  <si>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</si>
  <si>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</si>
  <si>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</si>
  <si>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</si>
  <si>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</si>
  <si>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</si>
  <si>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</si>
  <si>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</si>
  <si>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</si>
  <si>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</si>
  <si>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</si>
  <si>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</si>
  <si>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</si>
  <si>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</si>
  <si>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</si>
  <si>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</si>
  <si>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</si>
  <si>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</si>
  <si>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</si>
  <si>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</si>
  <si>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</si>
  <si>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</si>
  <si>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</si>
  <si>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</si>
  <si>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</si>
  <si>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</si>
  <si>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</si>
  <si>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</si>
  <si>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LED Street Light-Philips---45W-4000K-7000Lm</t>
  </si>
  <si>
    <t>LED_Panel_light-60X60-1X-60W</t>
  </si>
  <si>
    <t>LED_Panel_light-60X60-1X-100W</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</si>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</sst>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409]h:mm:ss\ AM/PM;@"/>
    <numFmt numFmtId="166" formatCode="#,##0.0"/>
    <numFmt numFmtId="167" formatCode="0.000"/>
    <numFmt numFmtId="168" formatCode="[$SAR]\ #,##0"/>
    <numFmt numFmtId="169" formatCode="0.0%"/>
  </numFmts>
  <fonts count="54">
    <font>
      <sz val="11"/>
      <color theme="1"/>
      <name val="Aptos Narrow"/>
      <family val="2"/>
      <scheme val="minor"/>
    </font>
    <font>
      <sz val="10"/>
      <color theme="1"/>
      <name val="Aptos Narrow"/>
      <family val="2"/>
      <scheme val="minor"/>
    </font>
    <font>
      <sz val="11"/>
      <name val="ＭＳ Ｐゴシック"/>
      <family val="3"/>
      <charset val="128"/>
    </font>
    <font>
      <sz val="11"/>
      <color theme="1"/>
      <name val="Aptos Narrow"/>
      <family val="2"/>
      <scheme val="minor"/>
    </font>
    <font>
      <b/>
      <sz val="11"/>
      <color theme="1"/>
      <name val="Aptos Narrow"/>
      <family val="2"/>
      <scheme val="minor"/>
    </font>
    <font>
      <b/>
      <sz val="14"/>
      <color theme="0"/>
      <name val="Calibri"/>
      <family val="2"/>
    </font>
    <font>
      <sz val="8"/>
      <name val="Aptos Narrow"/>
      <family val="2"/>
      <scheme val="minor"/>
    </font>
    <font>
      <sz val="11"/>
      <color theme="1"/>
      <name val="Aptos Narrow"/>
      <family val="2"/>
      <charset val="178"/>
      <scheme val="minor"/>
    </font>
    <font>
      <b/>
      <sz val="12"/>
      <color theme="1"/>
      <name val="Sakkal Majalla"/>
    </font>
    <font>
      <b/>
      <sz val="12"/>
      <color rgb="FF000000"/>
      <name val="Sakkal Majalla"/>
    </font>
    <font>
      <sz val="12"/>
      <color theme="1"/>
      <name val="ArialMT"/>
      <family val="2"/>
    </font>
    <font>
      <b/>
      <sz val="14"/>
      <name val="Calibri"/>
      <family val="2"/>
    </font>
    <font>
      <b/>
      <sz val="14"/>
      <color indexed="10"/>
      <name val="Calibri"/>
      <family val="2"/>
    </font>
    <font>
      <sz val="14"/>
      <name val="Aptos Narrow"/>
      <family val="2"/>
      <scheme val="minor"/>
    </font>
    <font>
      <sz val="14"/>
      <color rgb="FF202124"/>
      <name val="Arial"/>
      <family val="2"/>
    </font>
    <font>
      <sz val="14"/>
      <name val="Calibri"/>
      <family val="2"/>
    </font>
    <font>
      <b/>
      <u/>
      <sz val="11"/>
      <color theme="1"/>
      <name val="Aptos Narrow"/>
      <family val="2"/>
      <scheme val="minor"/>
    </font>
    <font>
      <sz val="11"/>
      <name val="Aptos Narrow"/>
      <family val="2"/>
      <scheme val="minor"/>
    </font>
    <font>
      <sz val="9"/>
      <color indexed="81"/>
      <name val="Tahoma"/>
      <family val="2"/>
    </font>
    <font>
      <b/>
      <sz val="9"/>
      <color indexed="81"/>
      <name val="Tahoma"/>
      <family val="2"/>
    </font>
    <font>
      <sz val="12"/>
      <color theme="1"/>
      <name val="Arial"/>
      <family val="2"/>
    </font>
    <font>
      <b/>
      <sz val="12"/>
      <color rgb="FF000000"/>
      <name val="Arial"/>
      <family val="2"/>
    </font>
    <font>
      <sz val="11"/>
      <color theme="1"/>
      <name val="Arial"/>
      <family val="2"/>
    </font>
    <font>
      <sz val="12"/>
      <color theme="1"/>
      <name val="Aptos Narrow"/>
      <family val="2"/>
      <scheme val="minor"/>
    </font>
    <font>
      <b/>
      <sz val="12"/>
      <color theme="0"/>
      <name val="Arial"/>
      <family val="2"/>
    </font>
    <font>
      <b/>
      <sz val="11"/>
      <color rgb="FF000000"/>
      <name val="Aptos Narrow"/>
      <family val="2"/>
      <scheme val="minor"/>
    </font>
    <font>
      <sz val="11"/>
      <color rgb="FF000000"/>
      <name val="Aptos Narrow"/>
      <family val="2"/>
      <scheme val="minor"/>
    </font>
    <font>
      <sz val="12"/>
      <color rgb="FF000000"/>
      <name val="Aptos Narrow"/>
      <family val="2"/>
    </font>
    <font>
      <sz val="11"/>
      <color rgb="FF000000"/>
      <name val="Aptos Narrow"/>
      <family val="2"/>
    </font>
    <font>
      <b/>
      <sz val="12"/>
      <color rgb="FF000000"/>
      <name val="Aptos Narrow"/>
      <family val="2"/>
      <scheme val="minor"/>
    </font>
    <font>
      <b/>
      <sz val="24"/>
      <color theme="1"/>
      <name val="Aptos Narrow"/>
      <family val="2"/>
      <scheme val="minor"/>
    </font>
    <font>
      <sz val="10"/>
      <name val="Arial"/>
      <family val="2"/>
    </font>
    <font>
      <b/>
      <sz val="12"/>
      <name val="Ariel"/>
    </font>
    <font>
      <sz val="10"/>
      <name val="Arial"/>
      <family val="2"/>
    </font>
    <font>
      <b/>
      <sz val="12"/>
      <name val="Arial"/>
      <family val="2"/>
    </font>
    <font>
      <b/>
      <sz val="11"/>
      <color indexed="9"/>
      <name val="Arial"/>
      <family val="2"/>
    </font>
    <font>
      <sz val="11"/>
      <name val="Arial"/>
      <family val="2"/>
    </font>
    <font>
      <sz val="10"/>
      <color theme="1"/>
      <name val="Arial"/>
      <family val="2"/>
    </font>
    <font>
      <b/>
      <sz val="11"/>
      <color rgb="FFFFFFFF"/>
      <name val="Aptos Narrow"/>
      <family val="2"/>
    </font>
    <font>
      <b/>
      <sz val="10"/>
      <color rgb="FFFFFFFF"/>
      <name val="Aptos Narrow"/>
      <family val="2"/>
    </font>
    <font>
      <b/>
      <sz val="10"/>
      <color theme="0"/>
      <name val="Calibri"/>
      <family val="2"/>
    </font>
    <font>
      <b/>
      <sz val="10"/>
      <color theme="1"/>
      <name val="Arial"/>
      <family val="2"/>
    </font>
    <font>
      <b/>
      <sz val="10"/>
      <color theme="0"/>
      <name val="Arial"/>
      <family val="2"/>
    </font>
    <font>
      <b/>
      <sz val="10"/>
      <color indexed="9"/>
      <name val="Arial"/>
      <family val="2"/>
    </font>
    <font>
      <b/>
      <sz val="11"/>
      <color rgb="FF000000"/>
      <name val="Aptos Narrow"/>
      <family val="2"/>
    </font>
    <font>
      <sz val="11"/>
      <color theme="1"/>
      <name val="Aptos Narrow"/>
      <family val="2"/>
    </font>
    <font>
      <sz val="11"/>
      <color rgb="FF000000"/>
      <name val="Calibri"/>
      <family val="2"/>
    </font>
    <font>
      <sz val="11"/>
      <name val="Calibri"/>
      <family val="2"/>
    </font>
    <font>
      <b/>
      <sz val="11"/>
      <color theme="0"/>
      <name val="Aptos Narrow"/>
      <family val="2"/>
      <scheme val="minor"/>
    </font>
    <font>
      <sz val="12"/>
      <name val="Aptos Narrow"/>
      <family val="2"/>
      <scheme val="minor"/>
    </font>
    <font>
      <b/>
      <sz val="14"/>
      <color rgb="FF000000"/>
      <name val="Aptos Narrow"/>
      <family val="2"/>
      <scheme val="minor"/>
    </font>
    <font>
      <b/>
      <sz val="16"/>
      <color rgb="FF000000"/>
      <name val="Aptos Narrow"/>
      <family val="2"/>
      <scheme val="minor"/>
    </font>
    <font>
      <sz val="12"/>
      <name val="Ariel"/>
    </font>
    <font>
      <b/>
      <sz val="12"/>
      <color indexed="9"/>
      <name val="Arial"/>
      <family val="2"/>
    </font>
  </fonts>
  <fills count="30">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9E0000"/>
        <bgColor indexed="64"/>
      </patternFill>
    </fill>
    <fill>
      <patternFill patternType="solid">
        <fgColor rgb="FFBFBFBF"/>
        <bgColor indexed="64"/>
      </patternFill>
    </fill>
    <fill>
      <patternFill patternType="solid">
        <fgColor theme="2" tint="-9.9978637043366805E-2"/>
        <bgColor indexed="64"/>
      </patternFill>
    </fill>
    <fill>
      <patternFill patternType="solid">
        <fgColor theme="4"/>
        <bgColor indexed="64"/>
      </patternFill>
    </fill>
    <fill>
      <patternFill patternType="solid">
        <fgColor theme="5" tint="0.39997558519241921"/>
        <bgColor indexed="64"/>
      </patternFill>
    </fill>
    <fill>
      <patternFill patternType="solid">
        <fgColor rgb="FFD0CECE"/>
        <bgColor indexed="64"/>
      </patternFill>
    </fill>
    <fill>
      <patternFill patternType="solid">
        <fgColor theme="5" tint="0.59999389629810485"/>
        <bgColor indexed="64"/>
      </patternFill>
    </fill>
    <fill>
      <patternFill patternType="solid">
        <fgColor rgb="FF8D1C1C"/>
        <bgColor indexed="64"/>
      </patternFill>
    </fill>
    <fill>
      <patternFill patternType="solid">
        <fgColor theme="4" tint="-0.249977111117893"/>
        <bgColor indexed="64"/>
      </patternFill>
    </fill>
    <fill>
      <patternFill patternType="solid">
        <fgColor rgb="FF9E0000"/>
        <bgColor rgb="FF000000"/>
      </patternFill>
    </fill>
    <fill>
      <patternFill patternType="solid">
        <fgColor rgb="FFFFFF00"/>
        <bgColor indexed="64"/>
      </patternFill>
    </fill>
    <fill>
      <patternFill patternType="solid">
        <fgColor rgb="FF660033"/>
        <bgColor indexed="64"/>
      </patternFill>
    </fill>
    <fill>
      <patternFill patternType="solid">
        <fgColor rgb="FF00B050"/>
        <bgColor indexed="64"/>
      </patternFill>
    </fill>
    <fill>
      <patternFill patternType="solid">
        <fgColor theme="6" tint="0.59999389629810485"/>
        <bgColor indexed="64"/>
      </patternFill>
    </fill>
    <fill>
      <patternFill patternType="solid">
        <fgColor rgb="FF3C7D22"/>
        <bgColor rgb="FF000000"/>
      </patternFill>
    </fill>
    <fill>
      <patternFill patternType="solid">
        <fgColor rgb="FFFFFFFF"/>
        <bgColor rgb="FF000000"/>
      </patternFill>
    </fill>
    <fill>
      <patternFill patternType="solid">
        <fgColor rgb="FFE7F7E1"/>
        <bgColor rgb="FF000000"/>
      </patternFill>
    </fill>
    <fill>
      <patternFill patternType="solid">
        <fgColor rgb="FFFFFF00"/>
        <bgColor rgb="FF000000"/>
      </patternFill>
    </fill>
    <fill>
      <patternFill patternType="solid">
        <fgColor theme="9" tint="0.59999389629810485"/>
        <bgColor indexed="64"/>
      </patternFill>
    </fill>
    <fill>
      <patternFill patternType="solid">
        <fgColor theme="3" tint="0.89999084444715716"/>
        <bgColor indexed="64"/>
      </patternFill>
    </fill>
    <fill>
      <patternFill patternType="solid">
        <fgColor theme="6"/>
        <bgColor indexed="64"/>
      </patternFill>
    </fill>
    <fill>
      <patternFill patternType="solid">
        <fgColor theme="9" tint="0.39997558519241921"/>
        <bgColor indexed="64"/>
      </patternFill>
    </fill>
    <fill>
      <patternFill patternType="solid">
        <fgColor theme="2"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style="thin">
        <color indexed="64"/>
      </left>
      <right/>
      <top style="thin">
        <color theme="9" tint="0.39997558519241921"/>
      </top>
      <bottom/>
      <diagonal/>
    </border>
    <border>
      <left style="medium">
        <color theme="1"/>
      </left>
      <right/>
      <top style="thin">
        <color theme="9" tint="0.39997558519241921"/>
      </top>
      <bottom/>
      <diagonal/>
    </border>
    <border>
      <left/>
      <right style="thin">
        <color auto="1"/>
      </right>
      <top/>
      <bottom style="thin">
        <color auto="1"/>
      </bottom>
      <diagonal/>
    </border>
    <border>
      <left/>
      <right style="thin">
        <color auto="1"/>
      </right>
      <top style="thin">
        <color auto="1"/>
      </top>
      <bottom/>
      <diagonal/>
    </border>
  </borders>
  <cellStyleXfs count="11">
    <xf numFmtId="0" fontId="0" fillId="0" borderId="0"/>
    <xf numFmtId="0" fontId="2" fillId="0" borderId="0"/>
    <xf numFmtId="43" fontId="3" fillId="0" borderId="0" applyFont="0" applyFill="0" applyBorder="0" applyAlignment="0" applyProtection="0"/>
    <xf numFmtId="0" fontId="7" fillId="0" borderId="0"/>
    <xf numFmtId="0" fontId="10" fillId="0" borderId="0"/>
    <xf numFmtId="0" fontId="31" fillId="0" borderId="0"/>
    <xf numFmtId="43" fontId="33" fillId="0" borderId="0" applyFont="0" applyFill="0" applyBorder="0" applyAlignment="0" applyProtection="0"/>
    <xf numFmtId="9" fontId="33" fillId="0" borderId="0" applyFill="0" applyBorder="0" applyAlignment="0" applyProtection="0"/>
    <xf numFmtId="0" fontId="3" fillId="0" borderId="0"/>
    <xf numFmtId="0" fontId="31" fillId="0" borderId="0"/>
    <xf numFmtId="9" fontId="3" fillId="0" borderId="0" applyFont="0" applyFill="0" applyBorder="0" applyAlignment="0" applyProtection="0"/>
  </cellStyleXfs>
  <cellXfs count="267">
    <xf numFmtId="0" fontId="0" fillId="0" borderId="0" xfId="0"/>
    <xf numFmtId="0" fontId="0" fillId="0" borderId="1" xfId="0" applyBorder="1"/>
    <xf numFmtId="0" fontId="0" fillId="0" borderId="0" xfId="0" applyAlignment="1">
      <alignment vertical="center"/>
    </xf>
    <xf numFmtId="0" fontId="0" fillId="0" borderId="0" xfId="0" applyAlignment="1">
      <alignment horizontal="center"/>
    </xf>
    <xf numFmtId="0" fontId="0" fillId="2" borderId="0" xfId="0" applyFill="1"/>
    <xf numFmtId="0" fontId="0" fillId="2" borderId="0" xfId="0" applyFill="1" applyAlignment="1">
      <alignment vertical="center"/>
    </xf>
    <xf numFmtId="0" fontId="16" fillId="2" borderId="0" xfId="0" applyFont="1" applyFill="1"/>
    <xf numFmtId="0" fontId="4" fillId="5" borderId="1" xfId="0" applyFont="1" applyFill="1" applyBorder="1"/>
    <xf numFmtId="0" fontId="4" fillId="0" borderId="1" xfId="0" applyFont="1" applyBorder="1"/>
    <xf numFmtId="0" fontId="17" fillId="2" borderId="0" xfId="0" applyFont="1" applyFill="1" applyAlignment="1">
      <alignment horizontal="left" vertical="center"/>
    </xf>
    <xf numFmtId="0" fontId="17" fillId="0" borderId="0" xfId="0" applyFont="1" applyAlignment="1">
      <alignment horizontal="left" vertical="center"/>
    </xf>
    <xf numFmtId="0" fontId="12" fillId="5" borderId="1" xfId="0" applyFont="1" applyFill="1" applyBorder="1" applyAlignment="1" applyProtection="1">
      <alignment horizontal="center" wrapText="1"/>
      <protection locked="0"/>
    </xf>
    <xf numFmtId="0" fontId="13"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protection locked="0"/>
    </xf>
    <xf numFmtId="49" fontId="13" fillId="5" borderId="1" xfId="0" applyNumberFormat="1" applyFon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3" fillId="4" borderId="1" xfId="0" applyFont="1" applyFill="1" applyBorder="1" applyAlignment="1">
      <alignment horizontal="left" vertical="center"/>
    </xf>
    <xf numFmtId="165" fontId="22" fillId="5" borderId="1" xfId="0" applyNumberFormat="1" applyFont="1" applyFill="1" applyBorder="1" applyAlignment="1" applyProtection="1">
      <alignment horizontal="center" readingOrder="1"/>
      <protection locked="0"/>
    </xf>
    <xf numFmtId="0" fontId="21" fillId="8" borderId="1" xfId="0" applyFont="1" applyFill="1" applyBorder="1" applyAlignment="1">
      <alignment horizontal="center" vertical="center" wrapText="1" readingOrder="2"/>
    </xf>
    <xf numFmtId="0" fontId="8" fillId="2" borderId="10" xfId="0" applyFont="1" applyFill="1" applyBorder="1" applyAlignment="1">
      <alignment horizontal="center" vertical="center" readingOrder="1"/>
    </xf>
    <xf numFmtId="0" fontId="22" fillId="2" borderId="0" xfId="0" applyFont="1" applyFill="1"/>
    <xf numFmtId="0" fontId="22" fillId="4" borderId="1" xfId="0" applyFont="1" applyFill="1" applyBorder="1" applyAlignment="1">
      <alignment horizontal="center" readingOrder="1"/>
    </xf>
    <xf numFmtId="0" fontId="0" fillId="4" borderId="0" xfId="0" applyFill="1" applyAlignment="1">
      <alignment horizontal="center"/>
    </xf>
    <xf numFmtId="0" fontId="9" fillId="2" borderId="10" xfId="0" applyFont="1" applyFill="1" applyBorder="1" applyAlignment="1">
      <alignment horizontal="center" vertical="center" wrapText="1" readingOrder="2"/>
    </xf>
    <xf numFmtId="0" fontId="23" fillId="0" borderId="0" xfId="0" applyFont="1"/>
    <xf numFmtId="0" fontId="24" fillId="6" borderId="1" xfId="0" applyFont="1" applyFill="1" applyBorder="1" applyAlignment="1">
      <alignment horizontal="center" vertical="center" wrapText="1" readingOrder="2"/>
    </xf>
    <xf numFmtId="0" fontId="24" fillId="6" borderId="7" xfId="0" applyFont="1" applyFill="1" applyBorder="1" applyAlignment="1">
      <alignment horizontal="center" vertical="center" wrapText="1" readingOrder="2"/>
    </xf>
    <xf numFmtId="0" fontId="22" fillId="5" borderId="1" xfId="0" applyFont="1" applyFill="1" applyBorder="1" applyAlignment="1" applyProtection="1">
      <alignment horizontal="center" readingOrder="1"/>
      <protection locked="0"/>
    </xf>
    <xf numFmtId="0" fontId="20" fillId="5" borderId="1" xfId="0" applyFont="1" applyFill="1" applyBorder="1" applyAlignment="1" applyProtection="1">
      <alignment horizontal="center" vertical="center" readingOrder="1"/>
      <protection locked="0"/>
    </xf>
    <xf numFmtId="0" fontId="22" fillId="2" borderId="0" xfId="0" applyFont="1" applyFill="1" applyProtection="1">
      <protection locked="0"/>
    </xf>
    <xf numFmtId="0" fontId="4" fillId="2" borderId="0" xfId="0" applyFont="1" applyFill="1"/>
    <xf numFmtId="0" fontId="20" fillId="4" borderId="1" xfId="0" applyFont="1" applyFill="1" applyBorder="1" applyAlignment="1">
      <alignment horizontal="center" vertical="center" readingOrder="1"/>
    </xf>
    <xf numFmtId="0" fontId="4" fillId="2" borderId="0" xfId="0" applyFont="1" applyFill="1" applyAlignment="1">
      <alignment horizontal="center"/>
    </xf>
    <xf numFmtId="0" fontId="4" fillId="0" borderId="0" xfId="0" applyFont="1" applyAlignment="1">
      <alignment horizontal="center"/>
    </xf>
    <xf numFmtId="0" fontId="24" fillId="6" borderId="1" xfId="0" applyFont="1" applyFill="1" applyBorder="1" applyAlignment="1">
      <alignment horizontal="center" vertical="center" wrapText="1" readingOrder="1"/>
    </xf>
    <xf numFmtId="4" fontId="29" fillId="2" borderId="0" xfId="0" applyNumberFormat="1" applyFont="1" applyFill="1" applyAlignment="1">
      <alignment horizontal="center" vertical="center" wrapText="1"/>
    </xf>
    <xf numFmtId="2" fontId="29" fillId="2" borderId="0" xfId="0" applyNumberFormat="1" applyFont="1" applyFill="1" applyAlignment="1">
      <alignment horizontal="center" vertical="center" wrapText="1"/>
    </xf>
    <xf numFmtId="4" fontId="29" fillId="12" borderId="1" xfId="0" applyNumberFormat="1" applyFont="1" applyFill="1" applyBorder="1" applyAlignment="1">
      <alignment horizontal="center" vertical="center" wrapText="1"/>
    </xf>
    <xf numFmtId="0" fontId="0" fillId="2" borderId="11" xfId="0" applyFill="1" applyBorder="1"/>
    <xf numFmtId="0" fontId="4" fillId="2" borderId="11" xfId="0" applyFont="1" applyFill="1" applyBorder="1"/>
    <xf numFmtId="0" fontId="4" fillId="4" borderId="1" xfId="0" applyFont="1" applyFill="1" applyBorder="1" applyAlignment="1">
      <alignment horizontal="center"/>
    </xf>
    <xf numFmtId="0" fontId="0" fillId="2" borderId="0" xfId="0" applyFill="1" applyAlignment="1">
      <alignment wrapText="1"/>
    </xf>
    <xf numFmtId="0" fontId="31" fillId="0" borderId="0" xfId="5" applyAlignment="1">
      <alignment horizontal="center"/>
    </xf>
    <xf numFmtId="0" fontId="31" fillId="0" borderId="0" xfId="5" applyAlignment="1">
      <alignment horizontal="center" vertical="center"/>
    </xf>
    <xf numFmtId="0" fontId="31" fillId="0" borderId="0" xfId="5"/>
    <xf numFmtId="0" fontId="31" fillId="0" borderId="0" xfId="5" applyAlignment="1">
      <alignment vertical="center"/>
    </xf>
    <xf numFmtId="0" fontId="32" fillId="13" borderId="1" xfId="5" applyFont="1" applyFill="1" applyBorder="1" applyAlignment="1">
      <alignment horizontal="center" vertical="center"/>
    </xf>
    <xf numFmtId="10" fontId="32" fillId="13" borderId="1" xfId="7" applyNumberFormat="1" applyFont="1" applyFill="1" applyBorder="1" applyAlignment="1">
      <alignment horizontal="center" vertical="center"/>
    </xf>
    <xf numFmtId="3" fontId="32" fillId="13" borderId="1" xfId="5" applyNumberFormat="1" applyFont="1" applyFill="1" applyBorder="1" applyAlignment="1">
      <alignment horizontal="center" vertical="center"/>
    </xf>
    <xf numFmtId="0" fontId="31" fillId="0" borderId="1" xfId="5" applyBorder="1"/>
    <xf numFmtId="0" fontId="33" fillId="13" borderId="13" xfId="5" applyFont="1" applyFill="1" applyBorder="1" applyAlignment="1">
      <alignment horizontal="center" vertical="center"/>
    </xf>
    <xf numFmtId="0" fontId="39" fillId="16" borderId="1" xfId="0" applyFont="1" applyFill="1" applyBorder="1" applyAlignment="1">
      <alignment horizontal="center" vertical="center" wrapText="1"/>
    </xf>
    <xf numFmtId="3" fontId="39" fillId="16" borderId="1" xfId="0" applyNumberFormat="1" applyFont="1" applyFill="1" applyBorder="1" applyAlignment="1">
      <alignment horizontal="center" vertical="center" wrapText="1"/>
    </xf>
    <xf numFmtId="0" fontId="40" fillId="7" borderId="4"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 fillId="2" borderId="1" xfId="0" applyFont="1" applyFill="1" applyBorder="1"/>
    <xf numFmtId="0" fontId="1" fillId="2" borderId="0" xfId="0" applyFont="1" applyFill="1"/>
    <xf numFmtId="3" fontId="1" fillId="2" borderId="0" xfId="0" applyNumberFormat="1" applyFont="1" applyFill="1"/>
    <xf numFmtId="0" fontId="31" fillId="0" borderId="0" xfId="5" applyProtection="1">
      <protection locked="0"/>
    </xf>
    <xf numFmtId="1" fontId="40" fillId="7" borderId="14" xfId="0" applyNumberFormat="1" applyFont="1" applyFill="1" applyBorder="1" applyAlignment="1">
      <alignment horizontal="center" vertical="center" wrapText="1"/>
    </xf>
    <xf numFmtId="1" fontId="1" fillId="2" borderId="0" xfId="0" applyNumberFormat="1" applyFont="1" applyFill="1"/>
    <xf numFmtId="166" fontId="1" fillId="2" borderId="1" xfId="2" applyNumberFormat="1" applyFont="1" applyFill="1" applyBorder="1" applyAlignment="1" applyProtection="1">
      <alignment horizontal="center" vertical="center"/>
    </xf>
    <xf numFmtId="3" fontId="1" fillId="2" borderId="1" xfId="2" applyNumberFormat="1" applyFont="1" applyFill="1" applyBorder="1" applyAlignment="1" applyProtection="1">
      <alignment horizontal="center" vertical="center"/>
    </xf>
    <xf numFmtId="3" fontId="1" fillId="2" borderId="1" xfId="0" applyNumberFormat="1" applyFont="1" applyFill="1" applyBorder="1" applyAlignment="1">
      <alignment horizontal="center" vertical="center"/>
    </xf>
    <xf numFmtId="0" fontId="38" fillId="21" borderId="1" xfId="0" applyFont="1" applyFill="1" applyBorder="1" applyAlignment="1">
      <alignment horizontal="center" vertical="center" wrapText="1"/>
    </xf>
    <xf numFmtId="0" fontId="28" fillId="22" borderId="0" xfId="0" applyFont="1" applyFill="1" applyAlignment="1">
      <alignment horizontal="center" vertical="center" wrapText="1"/>
    </xf>
    <xf numFmtId="0" fontId="38" fillId="21" borderId="9" xfId="0" applyFont="1" applyFill="1" applyBorder="1" applyAlignment="1">
      <alignment horizontal="center" vertical="center" wrapText="1"/>
    </xf>
    <xf numFmtId="0" fontId="44" fillId="22" borderId="0" xfId="0" applyFont="1" applyFill="1" applyAlignment="1">
      <alignment horizontal="center" vertical="center" wrapText="1"/>
    </xf>
    <xf numFmtId="0" fontId="45" fillId="2" borderId="0" xfId="0" applyFont="1" applyFill="1" applyAlignment="1">
      <alignment horizontal="center" vertical="center" wrapText="1"/>
    </xf>
    <xf numFmtId="0" fontId="28" fillId="23" borderId="1" xfId="0" applyFont="1" applyFill="1" applyBorder="1" applyAlignment="1">
      <alignment horizontal="center" vertical="center" wrapText="1"/>
    </xf>
    <xf numFmtId="0" fontId="46" fillId="23" borderId="1" xfId="0" applyFont="1" applyFill="1" applyBorder="1" applyAlignment="1">
      <alignment horizontal="center" vertical="center"/>
    </xf>
    <xf numFmtId="0" fontId="28" fillId="23" borderId="1" xfId="0" applyFont="1" applyFill="1" applyBorder="1" applyAlignment="1">
      <alignment horizontal="center" vertical="center"/>
    </xf>
    <xf numFmtId="164" fontId="28" fillId="23" borderId="1" xfId="0" applyNumberFormat="1" applyFont="1" applyFill="1" applyBorder="1" applyAlignment="1">
      <alignment horizontal="center" vertical="center" wrapText="1"/>
    </xf>
    <xf numFmtId="0" fontId="28" fillId="22" borderId="0" xfId="0" applyFont="1" applyFill="1" applyAlignment="1">
      <alignment horizontal="center" vertical="center"/>
    </xf>
    <xf numFmtId="0" fontId="28" fillId="23" borderId="12" xfId="0" applyFont="1" applyFill="1" applyBorder="1" applyAlignment="1">
      <alignment horizontal="center" vertical="center"/>
    </xf>
    <xf numFmtId="0" fontId="28" fillId="23" borderId="17" xfId="0" applyFont="1" applyFill="1" applyBorder="1" applyAlignment="1">
      <alignment horizontal="center" vertical="center"/>
    </xf>
    <xf numFmtId="0" fontId="47" fillId="23" borderId="17" xfId="0" applyFont="1" applyFill="1" applyBorder="1" applyAlignment="1">
      <alignment horizontal="center" vertical="center" wrapText="1"/>
    </xf>
    <xf numFmtId="0" fontId="28" fillId="23" borderId="17" xfId="0" quotePrefix="1" applyFont="1" applyFill="1" applyBorder="1" applyAlignment="1">
      <alignment horizontal="center" vertical="center"/>
    </xf>
    <xf numFmtId="0" fontId="28" fillId="23" borderId="17" xfId="0" applyFont="1" applyFill="1" applyBorder="1" applyAlignment="1">
      <alignment horizontal="center" vertical="center" wrapText="1"/>
    </xf>
    <xf numFmtId="164" fontId="28" fillId="23" borderId="17" xfId="0" applyNumberFormat="1" applyFont="1" applyFill="1" applyBorder="1" applyAlignment="1">
      <alignment horizontal="center" vertical="center"/>
    </xf>
    <xf numFmtId="0" fontId="45" fillId="2" borderId="0" xfId="0" applyFont="1" applyFill="1" applyAlignment="1">
      <alignment horizontal="center" vertical="center"/>
    </xf>
    <xf numFmtId="0" fontId="47" fillId="23" borderId="17" xfId="0" applyFont="1" applyFill="1" applyBorder="1" applyAlignment="1">
      <alignment horizontal="center" vertical="center"/>
    </xf>
    <xf numFmtId="0" fontId="47" fillId="23" borderId="1" xfId="0" applyFont="1" applyFill="1" applyBorder="1" applyAlignment="1">
      <alignment horizontal="center" vertical="center"/>
    </xf>
    <xf numFmtId="0" fontId="28" fillId="23" borderId="1" xfId="0" quotePrefix="1" applyFont="1" applyFill="1" applyBorder="1" applyAlignment="1">
      <alignment horizontal="center" vertical="center"/>
    </xf>
    <xf numFmtId="0" fontId="46" fillId="23" borderId="17" xfId="0" applyFont="1" applyFill="1" applyBorder="1" applyAlignment="1">
      <alignment horizontal="center" vertical="center" wrapText="1"/>
    </xf>
    <xf numFmtId="0" fontId="47" fillId="23" borderId="1" xfId="0" applyFont="1" applyFill="1" applyBorder="1" applyAlignment="1">
      <alignment horizontal="center" vertical="center" wrapText="1"/>
    </xf>
    <xf numFmtId="0" fontId="47" fillId="23" borderId="6" xfId="0" applyFont="1" applyFill="1" applyBorder="1" applyAlignment="1">
      <alignment horizontal="center" vertical="center"/>
    </xf>
    <xf numFmtId="0" fontId="46" fillId="23" borderId="9" xfId="0" applyFont="1" applyFill="1" applyBorder="1" applyAlignment="1">
      <alignment horizontal="center" vertical="center"/>
    </xf>
    <xf numFmtId="0" fontId="46" fillId="23" borderId="17" xfId="0" applyFont="1" applyFill="1" applyBorder="1" applyAlignment="1">
      <alignment horizontal="center" vertical="center"/>
    </xf>
    <xf numFmtId="0" fontId="28" fillId="23" borderId="3" xfId="0" applyFont="1" applyFill="1" applyBorder="1" applyAlignment="1">
      <alignment horizontal="center" vertical="center"/>
    </xf>
    <xf numFmtId="0" fontId="28" fillId="23" borderId="6" xfId="0" applyFont="1" applyFill="1" applyBorder="1" applyAlignment="1">
      <alignment horizontal="center" vertical="center"/>
    </xf>
    <xf numFmtId="0" fontId="28" fillId="23" borderId="18" xfId="0" applyFont="1" applyFill="1" applyBorder="1" applyAlignment="1">
      <alignment horizontal="center" vertical="center"/>
    </xf>
    <xf numFmtId="3" fontId="28" fillId="23" borderId="17" xfId="0" applyNumberFormat="1" applyFont="1" applyFill="1" applyBorder="1" applyAlignment="1">
      <alignment horizontal="center" vertical="center"/>
    </xf>
    <xf numFmtId="0" fontId="28" fillId="2" borderId="0" xfId="0" applyFont="1" applyFill="1" applyAlignment="1">
      <alignment horizontal="center" vertical="center"/>
    </xf>
    <xf numFmtId="3" fontId="0" fillId="0" borderId="0" xfId="0" applyNumberFormat="1"/>
    <xf numFmtId="3" fontId="38" fillId="21" borderId="1" xfId="0" applyNumberFormat="1" applyFont="1" applyFill="1" applyBorder="1" applyAlignment="1">
      <alignment horizontal="center" vertical="center" wrapText="1"/>
    </xf>
    <xf numFmtId="3" fontId="0" fillId="0" borderId="1" xfId="0" applyNumberFormat="1" applyBorder="1"/>
    <xf numFmtId="0" fontId="31" fillId="13" borderId="13" xfId="5" applyFill="1" applyBorder="1" applyAlignment="1">
      <alignment horizontal="center" vertical="center"/>
    </xf>
    <xf numFmtId="0" fontId="1" fillId="13" borderId="1" xfId="0" applyFont="1" applyFill="1" applyBorder="1" applyAlignment="1">
      <alignment horizontal="center"/>
    </xf>
    <xf numFmtId="2" fontId="1" fillId="13" borderId="1" xfId="0" applyNumberFormat="1" applyFont="1" applyFill="1" applyBorder="1" applyAlignment="1">
      <alignment horizontal="center" vertical="center"/>
    </xf>
    <xf numFmtId="0" fontId="35" fillId="2" borderId="0" xfId="5" applyFont="1" applyFill="1" applyAlignment="1">
      <alignment horizontal="center" vertical="center" wrapText="1"/>
    </xf>
    <xf numFmtId="0" fontId="31" fillId="2" borderId="0" xfId="5" applyFill="1"/>
    <xf numFmtId="168" fontId="33" fillId="2" borderId="0" xfId="5" applyNumberFormat="1" applyFont="1" applyFill="1" applyAlignment="1">
      <alignment horizontal="center" vertical="center"/>
    </xf>
    <xf numFmtId="0" fontId="34" fillId="13" borderId="1" xfId="5" applyFont="1" applyFill="1" applyBorder="1" applyAlignment="1">
      <alignment vertical="center"/>
    </xf>
    <xf numFmtId="3" fontId="34" fillId="13" borderId="1" xfId="5" applyNumberFormat="1" applyFont="1" applyFill="1" applyBorder="1" applyAlignment="1">
      <alignment horizontal="center" vertical="center"/>
    </xf>
    <xf numFmtId="4" fontId="34" fillId="13" borderId="1" xfId="5" applyNumberFormat="1" applyFont="1" applyFill="1" applyBorder="1" applyAlignment="1">
      <alignment horizontal="center" vertical="center"/>
    </xf>
    <xf numFmtId="0" fontId="35" fillId="14" borderId="1" xfId="5" applyFont="1" applyFill="1" applyBorder="1" applyAlignment="1">
      <alignment horizontal="center" vertical="center" wrapText="1"/>
    </xf>
    <xf numFmtId="0" fontId="35" fillId="14" borderId="1" xfId="0" applyFont="1" applyFill="1" applyBorder="1" applyAlignment="1">
      <alignment horizontal="center" vertical="center" wrapText="1"/>
    </xf>
    <xf numFmtId="0" fontId="35" fillId="15" borderId="1" xfId="5" applyFont="1" applyFill="1" applyBorder="1" applyAlignment="1">
      <alignment horizontal="center" vertical="center" wrapText="1"/>
    </xf>
    <xf numFmtId="0" fontId="33" fillId="13" borderId="1" xfId="5" applyFont="1" applyFill="1" applyBorder="1" applyAlignment="1">
      <alignment horizontal="center" vertical="center"/>
    </xf>
    <xf numFmtId="3" fontId="33" fillId="13" borderId="1" xfId="5" applyNumberFormat="1" applyFont="1" applyFill="1" applyBorder="1" applyAlignment="1">
      <alignment horizontal="center" vertical="center"/>
    </xf>
    <xf numFmtId="0" fontId="31" fillId="13" borderId="1" xfId="5" applyFill="1" applyBorder="1" applyAlignment="1">
      <alignment horizontal="center" vertical="center"/>
    </xf>
    <xf numFmtId="0" fontId="31" fillId="2" borderId="0" xfId="5" applyFill="1" applyAlignment="1">
      <alignment vertical="center"/>
    </xf>
    <xf numFmtId="0" fontId="31" fillId="2" borderId="0" xfId="5" applyFill="1" applyAlignment="1">
      <alignment horizontal="center" vertical="center"/>
    </xf>
    <xf numFmtId="3" fontId="31" fillId="2" borderId="0" xfId="5" applyNumberFormat="1" applyFill="1"/>
    <xf numFmtId="0" fontId="36" fillId="2" borderId="0" xfId="5" applyFont="1" applyFill="1"/>
    <xf numFmtId="0" fontId="31" fillId="2" borderId="0" xfId="5" applyFill="1" applyAlignment="1">
      <alignment horizontal="center"/>
    </xf>
    <xf numFmtId="0" fontId="0" fillId="2" borderId="0" xfId="6" applyNumberFormat="1" applyFont="1" applyFill="1" applyAlignment="1">
      <alignment horizontal="center" vertical="center"/>
    </xf>
    <xf numFmtId="0" fontId="31" fillId="2" borderId="1" xfId="5" applyFill="1" applyBorder="1"/>
    <xf numFmtId="0" fontId="5" fillId="10" borderId="1" xfId="5" applyFont="1" applyFill="1" applyBorder="1" applyAlignment="1">
      <alignment horizontal="center" vertical="center" wrapText="1"/>
    </xf>
    <xf numFmtId="0" fontId="31" fillId="5" borderId="13" xfId="9" applyFill="1" applyBorder="1" applyAlignment="1" applyProtection="1">
      <alignment horizontal="center" vertical="center" wrapText="1"/>
      <protection locked="0"/>
    </xf>
    <xf numFmtId="0" fontId="31" fillId="5" borderId="1" xfId="9" applyFill="1" applyBorder="1" applyAlignment="1" applyProtection="1">
      <alignment horizontal="center" vertical="center" wrapText="1"/>
      <protection locked="0"/>
    </xf>
    <xf numFmtId="0" fontId="37" fillId="5" borderId="13" xfId="8" applyFont="1" applyFill="1" applyBorder="1" applyAlignment="1" applyProtection="1">
      <alignment horizontal="center" vertical="center" wrapText="1"/>
      <protection locked="0"/>
    </xf>
    <xf numFmtId="0" fontId="37" fillId="5" borderId="1" xfId="8" applyFont="1" applyFill="1" applyBorder="1" applyAlignment="1" applyProtection="1">
      <alignment horizontal="center" vertical="center" wrapText="1"/>
      <protection locked="0"/>
    </xf>
    <xf numFmtId="0" fontId="33" fillId="5" borderId="1" xfId="5" applyFont="1" applyFill="1" applyBorder="1" applyAlignment="1" applyProtection="1">
      <alignment horizontal="center" vertical="center"/>
      <protection locked="0"/>
    </xf>
    <xf numFmtId="0" fontId="33" fillId="5" borderId="13" xfId="5" applyFont="1" applyFill="1" applyBorder="1" applyAlignment="1" applyProtection="1">
      <alignment horizontal="center" vertical="center"/>
      <protection locked="0"/>
    </xf>
    <xf numFmtId="0" fontId="31" fillId="0" borderId="0" xfId="5" applyAlignment="1" applyProtection="1">
      <alignment horizontal="center"/>
      <protection locked="0"/>
    </xf>
    <xf numFmtId="0" fontId="31" fillId="0" borderId="0" xfId="5" applyAlignment="1" applyProtection="1">
      <alignment horizontal="center" vertical="center"/>
      <protection locked="0"/>
    </xf>
    <xf numFmtId="0" fontId="31" fillId="0" borderId="0" xfId="5" applyAlignment="1" applyProtection="1">
      <alignment vertical="center"/>
      <protection locked="0"/>
    </xf>
    <xf numFmtId="3" fontId="33" fillId="5" borderId="1" xfId="5" applyNumberFormat="1" applyFont="1" applyFill="1" applyBorder="1" applyAlignment="1" applyProtection="1">
      <alignment horizontal="center" vertical="center"/>
      <protection locked="0"/>
    </xf>
    <xf numFmtId="0" fontId="4" fillId="9" borderId="1" xfId="0" applyFont="1" applyFill="1" applyBorder="1" applyAlignment="1">
      <alignment horizontal="center" vertical="center"/>
    </xf>
    <xf numFmtId="0" fontId="4" fillId="9" borderId="1" xfId="0" applyFont="1" applyFill="1" applyBorder="1"/>
    <xf numFmtId="0" fontId="0" fillId="3" borderId="1" xfId="0" applyFill="1" applyBorder="1" applyAlignment="1">
      <alignment horizontal="center"/>
    </xf>
    <xf numFmtId="0" fontId="0" fillId="2" borderId="1" xfId="0" applyFill="1" applyBorder="1"/>
    <xf numFmtId="0" fontId="0" fillId="3" borderId="1" xfId="0" applyFill="1" applyBorder="1" applyAlignment="1">
      <alignment horizontal="center" vertical="center"/>
    </xf>
    <xf numFmtId="0" fontId="37" fillId="17" borderId="1" xfId="8" applyFont="1" applyFill="1" applyBorder="1" applyAlignment="1">
      <alignment vertical="center" wrapText="1"/>
    </xf>
    <xf numFmtId="0" fontId="37" fillId="0" borderId="1" xfId="8" applyFont="1" applyBorder="1" applyAlignment="1">
      <alignment vertical="center" wrapText="1"/>
    </xf>
    <xf numFmtId="20" fontId="10" fillId="2" borderId="1" xfId="4" applyNumberFormat="1" applyFill="1" applyBorder="1" applyAlignment="1">
      <alignment horizontal="center" vertical="center"/>
    </xf>
    <xf numFmtId="0" fontId="37" fillId="19" borderId="1" xfId="8" applyFont="1" applyFill="1" applyBorder="1" applyAlignment="1">
      <alignment vertical="center" wrapText="1"/>
    </xf>
    <xf numFmtId="0" fontId="37" fillId="11" borderId="1" xfId="8" applyFont="1" applyFill="1" applyBorder="1" applyAlignment="1">
      <alignment vertical="center" wrapText="1"/>
    </xf>
    <xf numFmtId="0" fontId="0" fillId="2" borderId="0" xfId="0" applyFill="1" applyAlignment="1">
      <alignment horizontal="center"/>
    </xf>
    <xf numFmtId="0" fontId="4" fillId="9" borderId="1" xfId="0" applyFont="1" applyFill="1" applyBorder="1" applyAlignment="1">
      <alignment horizontal="center"/>
    </xf>
    <xf numFmtId="0" fontId="4" fillId="4" borderId="1" xfId="0" applyFont="1" applyFill="1" applyBorder="1" applyAlignment="1">
      <alignment horizontal="center" vertical="center"/>
    </xf>
    <xf numFmtId="0" fontId="41" fillId="0" borderId="1" xfId="5" applyFont="1" applyBorder="1" applyAlignment="1">
      <alignment vertical="center" wrapText="1"/>
    </xf>
    <xf numFmtId="0" fontId="41" fillId="0" borderId="1" xfId="5" applyFont="1" applyBorder="1" applyAlignment="1">
      <alignment horizontal="center" vertical="center" wrapText="1"/>
    </xf>
    <xf numFmtId="0" fontId="37" fillId="0" borderId="1" xfId="5" applyFont="1" applyBorder="1" applyAlignment="1">
      <alignment horizontal="center" vertical="center" wrapText="1"/>
    </xf>
    <xf numFmtId="49" fontId="37" fillId="0" borderId="1" xfId="5" applyNumberFormat="1" applyFont="1" applyBorder="1" applyAlignment="1">
      <alignment horizontal="center" vertical="center" wrapText="1"/>
    </xf>
    <xf numFmtId="0" fontId="41" fillId="0" borderId="1" xfId="8" applyFont="1" applyBorder="1" applyAlignment="1">
      <alignment horizontal="center" vertical="center" wrapText="1"/>
    </xf>
    <xf numFmtId="0" fontId="37" fillId="0" borderId="1" xfId="8" applyFont="1" applyBorder="1" applyAlignment="1">
      <alignment horizontal="center" vertical="center" wrapText="1"/>
    </xf>
    <xf numFmtId="0" fontId="0" fillId="20" borderId="1" xfId="0" applyFill="1" applyBorder="1"/>
    <xf numFmtId="0" fontId="1" fillId="2" borderId="5"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2" fontId="1" fillId="2" borderId="1" xfId="0" applyNumberFormat="1" applyFont="1" applyFill="1" applyBorder="1" applyAlignment="1" applyProtection="1">
      <alignment horizontal="center" vertical="center"/>
      <protection locked="0"/>
    </xf>
    <xf numFmtId="3" fontId="1" fillId="2" borderId="1" xfId="2" applyNumberFormat="1" applyFont="1" applyFill="1" applyBorder="1" applyAlignment="1" applyProtection="1">
      <alignment horizontal="center" vertical="center"/>
      <protection locked="0"/>
    </xf>
    <xf numFmtId="1" fontId="1" fillId="2" borderId="1" xfId="0" applyNumberFormat="1" applyFont="1" applyFill="1" applyBorder="1" applyAlignment="1" applyProtection="1">
      <alignment horizontal="center" vertical="center"/>
      <protection locked="0"/>
    </xf>
    <xf numFmtId="0" fontId="1" fillId="2" borderId="1" xfId="0" applyFont="1" applyFill="1" applyBorder="1" applyProtection="1">
      <protection locked="0"/>
    </xf>
    <xf numFmtId="0" fontId="1" fillId="2" borderId="0" xfId="0" applyFont="1" applyFill="1" applyProtection="1">
      <protection locked="0"/>
    </xf>
    <xf numFmtId="3" fontId="1" fillId="2" borderId="0" xfId="0" applyNumberFormat="1" applyFont="1" applyFill="1" applyProtection="1">
      <protection locked="0"/>
    </xf>
    <xf numFmtId="1" fontId="1" fillId="2" borderId="0" xfId="0" applyNumberFormat="1" applyFont="1" applyFill="1" applyProtection="1">
      <protection locked="0"/>
    </xf>
    <xf numFmtId="4" fontId="32" fillId="13" borderId="1" xfId="6" applyNumberFormat="1" applyFont="1" applyFill="1" applyBorder="1" applyAlignment="1">
      <alignment horizontal="center" vertical="center"/>
    </xf>
    <xf numFmtId="0" fontId="41" fillId="9" borderId="1" xfId="5" applyFont="1" applyFill="1" applyBorder="1" applyAlignment="1">
      <alignment horizontal="center" vertical="center" wrapText="1"/>
    </xf>
    <xf numFmtId="0" fontId="0" fillId="20" borderId="12" xfId="0" applyFill="1" applyBorder="1"/>
    <xf numFmtId="164" fontId="33" fillId="13" borderId="1" xfId="5" applyNumberFormat="1" applyFont="1" applyFill="1" applyBorder="1" applyAlignment="1">
      <alignment horizontal="center" vertical="center"/>
    </xf>
    <xf numFmtId="0" fontId="33" fillId="13" borderId="1" xfId="5" applyFont="1" applyFill="1" applyBorder="1" applyAlignment="1">
      <alignment horizontal="center" vertical="center" wrapText="1"/>
    </xf>
    <xf numFmtId="167" fontId="33" fillId="13" borderId="1" xfId="5" applyNumberFormat="1" applyFont="1" applyFill="1" applyBorder="1" applyAlignment="1">
      <alignment horizontal="center" vertical="center"/>
    </xf>
    <xf numFmtId="164" fontId="33" fillId="13" borderId="13" xfId="5" applyNumberFormat="1" applyFont="1" applyFill="1" applyBorder="1" applyAlignment="1">
      <alignment horizontal="center" vertical="center"/>
    </xf>
    <xf numFmtId="0" fontId="0" fillId="25" borderId="1" xfId="0" applyFill="1" applyBorder="1" applyAlignment="1">
      <alignment horizontal="center"/>
    </xf>
    <xf numFmtId="4" fontId="25" fillId="12" borderId="1" xfId="0" applyNumberFormat="1" applyFont="1" applyFill="1" applyBorder="1" applyAlignment="1">
      <alignment horizontal="center" vertical="center" wrapText="1"/>
    </xf>
    <xf numFmtId="0" fontId="26" fillId="12" borderId="1" xfId="0" applyFont="1" applyFill="1" applyBorder="1" applyAlignment="1">
      <alignment horizontal="center" vertical="center" wrapText="1"/>
    </xf>
    <xf numFmtId="3" fontId="23" fillId="13" borderId="1" xfId="2" applyNumberFormat="1" applyFont="1" applyFill="1" applyBorder="1" applyAlignment="1" applyProtection="1">
      <alignment horizontal="center" vertical="center" wrapText="1"/>
    </xf>
    <xf numFmtId="4" fontId="27" fillId="13" borderId="1" xfId="0" applyNumberFormat="1" applyFont="1" applyFill="1" applyBorder="1" applyAlignment="1">
      <alignment horizontal="center" vertical="center" wrapText="1"/>
    </xf>
    <xf numFmtId="0" fontId="48" fillId="27" borderId="1" xfId="0" applyFont="1" applyFill="1" applyBorder="1" applyAlignment="1">
      <alignment horizontal="center" vertical="center"/>
    </xf>
    <xf numFmtId="0" fontId="0" fillId="26" borderId="1" xfId="0" applyFill="1" applyBorder="1" applyAlignment="1">
      <alignment horizontal="center"/>
    </xf>
    <xf numFmtId="2" fontId="27" fillId="26" borderId="1" xfId="0" applyNumberFormat="1" applyFont="1" applyFill="1" applyBorder="1" applyAlignment="1">
      <alignment horizontal="center" vertical="center" wrapText="1"/>
    </xf>
    <xf numFmtId="4" fontId="27" fillId="26" borderId="1" xfId="0"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1" xfId="0" applyFont="1" applyFill="1" applyBorder="1" applyAlignment="1">
      <alignment horizontal="center"/>
    </xf>
    <xf numFmtId="0" fontId="26" fillId="2" borderId="1" xfId="0" applyFont="1" applyFill="1" applyBorder="1" applyAlignment="1">
      <alignment horizontal="center" vertical="center"/>
    </xf>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4" fontId="23" fillId="13" borderId="1" xfId="2" applyNumberFormat="1" applyFont="1" applyFill="1" applyBorder="1" applyAlignment="1" applyProtection="1">
      <alignment horizontal="center" vertical="center" wrapText="1"/>
    </xf>
    <xf numFmtId="4" fontId="32" fillId="13" borderId="1" xfId="5" applyNumberFormat="1" applyFont="1" applyFill="1" applyBorder="1" applyAlignment="1">
      <alignment horizontal="center" vertical="center"/>
    </xf>
    <xf numFmtId="4" fontId="27" fillId="25" borderId="1" xfId="0" applyNumberFormat="1" applyFont="1" applyFill="1" applyBorder="1" applyAlignment="1" applyProtection="1">
      <alignment horizontal="center" vertical="center"/>
      <protection locked="0"/>
    </xf>
    <xf numFmtId="4" fontId="49" fillId="13" borderId="1" xfId="2" applyNumberFormat="1" applyFont="1" applyFill="1" applyBorder="1" applyAlignment="1" applyProtection="1">
      <alignment horizontal="center" vertical="center" wrapText="1"/>
    </xf>
    <xf numFmtId="0" fontId="42" fillId="18" borderId="15" xfId="8" applyFont="1" applyFill="1" applyBorder="1" applyAlignment="1">
      <alignment horizontal="center" vertical="center" wrapText="1"/>
    </xf>
    <xf numFmtId="3" fontId="42" fillId="18" borderId="15" xfId="8" applyNumberFormat="1" applyFont="1" applyFill="1" applyBorder="1" applyAlignment="1">
      <alignment horizontal="center" vertical="center" wrapText="1"/>
    </xf>
    <xf numFmtId="4" fontId="42" fillId="18" borderId="15" xfId="8" applyNumberFormat="1" applyFont="1" applyFill="1" applyBorder="1" applyAlignment="1">
      <alignment horizontal="center" vertical="center" wrapText="1"/>
    </xf>
    <xf numFmtId="0" fontId="43" fillId="15" borderId="16" xfId="5" applyFont="1" applyFill="1" applyBorder="1" applyAlignment="1">
      <alignment horizontal="center" vertical="center" wrapText="1"/>
    </xf>
    <xf numFmtId="3" fontId="43" fillId="15" borderId="16" xfId="5" applyNumberFormat="1" applyFont="1" applyFill="1" applyBorder="1" applyAlignment="1">
      <alignment horizontal="center" vertical="center" wrapText="1"/>
    </xf>
    <xf numFmtId="0" fontId="37" fillId="4" borderId="13" xfId="8" applyFont="1" applyFill="1" applyBorder="1" applyAlignment="1">
      <alignment horizontal="center" vertical="center" wrapText="1"/>
    </xf>
    <xf numFmtId="3" fontId="37" fillId="4" borderId="13" xfId="8" applyNumberFormat="1" applyFont="1" applyFill="1" applyBorder="1" applyAlignment="1">
      <alignment horizontal="center" vertical="center" wrapText="1"/>
    </xf>
    <xf numFmtId="166" fontId="31" fillId="4" borderId="13" xfId="9" applyNumberFormat="1" applyFill="1" applyBorder="1" applyAlignment="1">
      <alignment horizontal="center" vertical="center" wrapText="1"/>
    </xf>
    <xf numFmtId="0" fontId="31" fillId="4" borderId="13" xfId="9" applyFill="1" applyBorder="1" applyAlignment="1">
      <alignment horizontal="center" vertical="center" wrapText="1"/>
    </xf>
    <xf numFmtId="3" fontId="31" fillId="4" borderId="13" xfId="9" applyNumberFormat="1" applyFill="1" applyBorder="1" applyAlignment="1">
      <alignment horizontal="center" vertical="center" wrapText="1"/>
    </xf>
    <xf numFmtId="169" fontId="37" fillId="4" borderId="2" xfId="10" applyNumberFormat="1" applyFont="1" applyFill="1" applyBorder="1" applyAlignment="1" applyProtection="1">
      <alignment horizontal="center" vertical="center" wrapText="1"/>
    </xf>
    <xf numFmtId="0" fontId="31" fillId="0" borderId="1" xfId="5" applyBorder="1" applyAlignment="1">
      <alignment horizontal="center"/>
    </xf>
    <xf numFmtId="0" fontId="37" fillId="4" borderId="1" xfId="8" applyFont="1" applyFill="1" applyBorder="1" applyAlignment="1">
      <alignment horizontal="center" vertical="center" wrapText="1"/>
    </xf>
    <xf numFmtId="3" fontId="37" fillId="4" borderId="1" xfId="8" applyNumberFormat="1" applyFont="1" applyFill="1" applyBorder="1" applyAlignment="1">
      <alignment horizontal="center" vertical="center" wrapText="1"/>
    </xf>
    <xf numFmtId="166" fontId="31" fillId="4" borderId="1" xfId="9" applyNumberFormat="1" applyFill="1" applyBorder="1" applyAlignment="1">
      <alignment horizontal="center" vertical="center" wrapText="1"/>
    </xf>
    <xf numFmtId="0" fontId="31" fillId="4" borderId="1" xfId="9" applyFill="1" applyBorder="1" applyAlignment="1">
      <alignment horizontal="center" vertical="center" wrapText="1"/>
    </xf>
    <xf numFmtId="3" fontId="31" fillId="4" borderId="1" xfId="9" applyNumberFormat="1" applyFill="1" applyBorder="1" applyAlignment="1">
      <alignment horizontal="center" vertical="center" wrapText="1"/>
    </xf>
    <xf numFmtId="169" fontId="37" fillId="4" borderId="1" xfId="10" applyNumberFormat="1" applyFont="1" applyFill="1" applyBorder="1" applyAlignment="1" applyProtection="1">
      <alignment horizontal="center" vertical="center" wrapText="1"/>
    </xf>
    <xf numFmtId="0" fontId="0" fillId="13" borderId="1" xfId="0" applyFill="1" applyBorder="1" applyAlignment="1">
      <alignment horizontal="center"/>
    </xf>
    <xf numFmtId="2" fontId="27" fillId="13" borderId="1" xfId="0" applyNumberFormat="1" applyFont="1" applyFill="1" applyBorder="1" applyAlignment="1">
      <alignment horizontal="center" vertical="center" wrapText="1"/>
    </xf>
    <xf numFmtId="4" fontId="50" fillId="12" borderId="1" xfId="0" applyNumberFormat="1" applyFont="1" applyFill="1" applyBorder="1" applyAlignment="1">
      <alignment horizontal="center" vertical="center" wrapText="1"/>
    </xf>
    <xf numFmtId="4" fontId="27" fillId="28" borderId="1" xfId="0" applyNumberFormat="1" applyFont="1" applyFill="1" applyBorder="1" applyAlignment="1" applyProtection="1">
      <alignment horizontal="center" vertical="center"/>
      <protection locked="0"/>
    </xf>
    <xf numFmtId="0" fontId="23" fillId="28" borderId="1" xfId="0" applyFont="1" applyFill="1" applyBorder="1" applyAlignment="1" applyProtection="1">
      <alignment horizontal="center"/>
      <protection locked="0"/>
    </xf>
    <xf numFmtId="0" fontId="30" fillId="2" borderId="0" xfId="0" applyFont="1" applyFill="1" applyAlignment="1">
      <alignment horizontal="center" vertical="center"/>
    </xf>
    <xf numFmtId="0" fontId="0" fillId="0" borderId="1" xfId="0" applyBorder="1" applyAlignment="1" applyProtection="1">
      <alignment horizontal="center"/>
      <protection locked="0"/>
    </xf>
    <xf numFmtId="3" fontId="27" fillId="2" borderId="1" xfId="0" applyNumberFormat="1" applyFont="1" applyFill="1" applyBorder="1" applyAlignment="1" applyProtection="1">
      <alignment horizontal="center" vertical="center" wrapText="1"/>
      <protection locked="0"/>
    </xf>
    <xf numFmtId="0" fontId="22" fillId="5" borderId="1" xfId="0" applyFont="1" applyFill="1" applyBorder="1" applyAlignment="1" applyProtection="1">
      <alignment horizontal="center" readingOrder="2"/>
      <protection locked="0"/>
    </xf>
    <xf numFmtId="0" fontId="22" fillId="5" borderId="1" xfId="0" applyFont="1" applyFill="1" applyBorder="1" applyAlignment="1" applyProtection="1">
      <alignment horizontal="center" wrapText="1" readingOrder="2"/>
      <protection locked="0"/>
    </xf>
    <xf numFmtId="0" fontId="22" fillId="2" borderId="0" xfId="0" applyFont="1" applyFill="1" applyAlignment="1" applyProtection="1">
      <alignment readingOrder="2"/>
      <protection locked="0"/>
    </xf>
    <xf numFmtId="0" fontId="0" fillId="2" borderId="1" xfId="0" applyFill="1" applyBorder="1" applyAlignment="1" applyProtection="1">
      <alignment horizontal="center"/>
      <protection locked="0"/>
    </xf>
    <xf numFmtId="4" fontId="25" fillId="29" borderId="1" xfId="0" applyNumberFormat="1" applyFont="1" applyFill="1" applyBorder="1" applyAlignment="1" applyProtection="1">
      <alignment horizontal="center" vertical="center" wrapText="1"/>
      <protection locked="0"/>
    </xf>
    <xf numFmtId="0" fontId="26" fillId="29" borderId="1" xfId="0" applyFont="1" applyFill="1" applyBorder="1" applyAlignment="1" applyProtection="1">
      <alignment horizontal="center" vertical="center" wrapText="1"/>
      <protection locked="0"/>
    </xf>
    <xf numFmtId="4" fontId="29" fillId="29" borderId="1" xfId="0" applyNumberFormat="1" applyFont="1" applyFill="1" applyBorder="1" applyAlignment="1" applyProtection="1">
      <alignment horizontal="center" vertical="center" wrapText="1"/>
      <protection locked="0"/>
    </xf>
    <xf numFmtId="4" fontId="29" fillId="29" borderId="1" xfId="0" applyNumberFormat="1" applyFont="1" applyFill="1" applyBorder="1" applyAlignment="1">
      <alignment horizontal="center" vertical="center" wrapText="1"/>
    </xf>
    <xf numFmtId="4" fontId="26" fillId="29" borderId="1" xfId="0" applyNumberFormat="1" applyFont="1" applyFill="1" applyBorder="1" applyAlignment="1" applyProtection="1">
      <alignment horizontal="center" vertical="center" wrapText="1"/>
      <protection locked="0"/>
    </xf>
    <xf numFmtId="0" fontId="0" fillId="29" borderId="1" xfId="0" applyFill="1" applyBorder="1" applyAlignment="1">
      <alignment horizontal="center" vertical="center" wrapText="1"/>
    </xf>
    <xf numFmtId="3" fontId="23" fillId="26" borderId="1" xfId="2" applyNumberFormat="1" applyFont="1" applyFill="1" applyBorder="1" applyAlignment="1" applyProtection="1">
      <alignment horizontal="center" vertical="center" wrapText="1"/>
    </xf>
    <xf numFmtId="0" fontId="28" fillId="24" borderId="1" xfId="0" applyFont="1" applyFill="1" applyBorder="1" applyAlignment="1">
      <alignment horizontal="center" vertical="center"/>
    </xf>
    <xf numFmtId="0" fontId="31" fillId="4" borderId="7" xfId="9" applyFill="1" applyBorder="1" applyAlignment="1">
      <alignment horizontal="center" vertical="center" wrapText="1"/>
    </xf>
    <xf numFmtId="3" fontId="31" fillId="4" borderId="2" xfId="9" applyNumberFormat="1" applyFill="1" applyBorder="1" applyAlignment="1">
      <alignment horizontal="center" vertical="center" wrapTex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1" fontId="1" fillId="2" borderId="1" xfId="0" applyNumberFormat="1" applyFont="1" applyFill="1" applyBorder="1" applyAlignment="1">
      <alignment horizontal="center" vertical="center"/>
    </xf>
    <xf numFmtId="0" fontId="37" fillId="2" borderId="1" xfId="9" applyFont="1" applyFill="1" applyBorder="1" applyAlignment="1" applyProtection="1">
      <alignment horizontal="center" vertical="center" wrapText="1"/>
      <protection locked="0"/>
    </xf>
    <xf numFmtId="0" fontId="31" fillId="2" borderId="1" xfId="9" applyFill="1" applyBorder="1" applyAlignment="1">
      <alignment horizontal="center" vertical="center" wrapText="1"/>
    </xf>
    <xf numFmtId="0" fontId="37" fillId="2" borderId="1" xfId="8" applyFont="1" applyFill="1" applyBorder="1" applyAlignment="1">
      <alignment horizontal="center" vertical="center" wrapText="1"/>
    </xf>
    <xf numFmtId="1" fontId="20" fillId="4" borderId="1" xfId="0" applyNumberFormat="1" applyFont="1" applyFill="1" applyBorder="1" applyAlignment="1">
      <alignment horizontal="center" vertical="center" readingOrder="1"/>
    </xf>
    <xf numFmtId="0" fontId="32" fillId="13" borderId="1" xfId="5" applyFont="1" applyFill="1" applyBorder="1" applyAlignment="1">
      <alignment horizontal="left" vertical="center"/>
    </xf>
    <xf numFmtId="3" fontId="52" fillId="13" borderId="1" xfId="5" applyNumberFormat="1" applyFont="1" applyFill="1" applyBorder="1" applyAlignment="1">
      <alignment horizontal="center" vertical="center"/>
    </xf>
    <xf numFmtId="4" fontId="52" fillId="13" borderId="1" xfId="5" applyNumberFormat="1" applyFont="1" applyFill="1" applyBorder="1" applyAlignment="1">
      <alignment horizontal="center" vertical="center"/>
    </xf>
    <xf numFmtId="4" fontId="52" fillId="13" borderId="1" xfId="6" applyNumberFormat="1" applyFont="1" applyFill="1" applyBorder="1" applyAlignment="1">
      <alignment horizontal="center" vertical="center"/>
    </xf>
    <xf numFmtId="10" fontId="52" fillId="13" borderId="1" xfId="7" applyNumberFormat="1" applyFont="1" applyFill="1" applyBorder="1" applyAlignment="1">
      <alignment horizontal="center" vertical="center"/>
    </xf>
    <xf numFmtId="0" fontId="53" fillId="6" borderId="1" xfId="5" applyFont="1" applyFill="1" applyBorder="1" applyAlignment="1">
      <alignment horizontal="center" vertical="center" wrapText="1"/>
    </xf>
    <xf numFmtId="2" fontId="1" fillId="2" borderId="0" xfId="0" applyNumberFormat="1" applyFont="1" applyFill="1" applyProtection="1">
      <protection locked="0"/>
    </xf>
    <xf numFmtId="0" fontId="22" fillId="0" borderId="0" xfId="0" applyFont="1"/>
    <xf numFmtId="0" fontId="20" fillId="4" borderId="2" xfId="0" applyFont="1" applyFill="1" applyBorder="1" applyAlignment="1">
      <alignment horizontal="center" vertical="center" readingOrder="1"/>
    </xf>
    <xf numFmtId="1" fontId="20" fillId="4" borderId="2" xfId="0" applyNumberFormat="1" applyFont="1" applyFill="1" applyBorder="1" applyAlignment="1">
      <alignment horizontal="center" vertical="center" readingOrder="1"/>
    </xf>
    <xf numFmtId="0" fontId="20" fillId="0" borderId="0" xfId="0" applyFont="1" applyAlignment="1">
      <alignment horizontal="center" vertical="center" readingOrder="1"/>
    </xf>
    <xf numFmtId="1" fontId="20" fillId="0" borderId="0" xfId="0" applyNumberFormat="1" applyFont="1" applyAlignment="1">
      <alignment horizontal="center" vertical="center" readingOrder="1"/>
    </xf>
    <xf numFmtId="9" fontId="37" fillId="2" borderId="1" xfId="10" applyFont="1" applyFill="1" applyBorder="1" applyAlignment="1">
      <alignment horizontal="center" vertical="center" wrapText="1"/>
    </xf>
    <xf numFmtId="0" fontId="31" fillId="0" borderId="1" xfId="9" applyBorder="1" applyAlignment="1">
      <alignment horizontal="center" vertical="center" wrapText="1"/>
    </xf>
    <xf numFmtId="0" fontId="45" fillId="17" borderId="1" xfId="0" applyFont="1" applyFill="1" applyBorder="1" applyAlignment="1" applyProtection="1">
      <alignment horizontal="center" vertical="center"/>
      <protection locked="0"/>
    </xf>
    <xf numFmtId="0" fontId="28" fillId="24" borderId="1" xfId="0" applyFont="1" applyFill="1" applyBorder="1" applyAlignment="1" applyProtection="1">
      <alignment horizontal="center" vertical="center"/>
      <protection locked="0"/>
    </xf>
    <xf numFmtId="0" fontId="28" fillId="17" borderId="1" xfId="0" applyFont="1" applyFill="1" applyBorder="1" applyAlignment="1" applyProtection="1">
      <alignment horizontal="center" vertical="center"/>
      <protection locked="0"/>
    </xf>
    <xf numFmtId="0" fontId="28" fillId="24" borderId="1" xfId="0" applyFont="1" applyFill="1" applyBorder="1" applyAlignment="1" applyProtection="1">
      <alignment horizontal="center" vertical="center" wrapText="1"/>
      <protection locked="0"/>
    </xf>
    <xf numFmtId="0" fontId="31" fillId="5" borderId="1" xfId="5" applyFill="1" applyBorder="1" applyAlignment="1" applyProtection="1">
      <alignment horizontal="center" vertical="center"/>
      <protection locked="0"/>
    </xf>
    <xf numFmtId="0" fontId="28" fillId="23" borderId="17" xfId="0" applyFont="1" applyFill="1" applyBorder="1" applyAlignment="1" applyProtection="1">
      <alignment horizontal="center" vertical="center"/>
      <protection locked="0"/>
    </xf>
    <xf numFmtId="0" fontId="28" fillId="23" borderId="1" xfId="0" applyFont="1" applyFill="1" applyBorder="1" applyAlignment="1" applyProtection="1">
      <alignment horizontal="center" vertical="center"/>
      <protection locked="0"/>
    </xf>
    <xf numFmtId="4" fontId="32" fillId="13" borderId="2" xfId="5" applyNumberFormat="1" applyFont="1" applyFill="1" applyBorder="1" applyAlignment="1">
      <alignment horizontal="center" vertical="center"/>
    </xf>
    <xf numFmtId="4" fontId="32" fillId="13" borderId="3" xfId="5" applyNumberFormat="1" applyFont="1" applyFill="1" applyBorder="1" applyAlignment="1">
      <alignment horizontal="center" vertical="center"/>
    </xf>
    <xf numFmtId="4" fontId="32" fillId="13" borderId="12" xfId="5" applyNumberFormat="1" applyFont="1" applyFill="1" applyBorder="1" applyAlignment="1">
      <alignment horizontal="center" vertical="center"/>
    </xf>
    <xf numFmtId="4" fontId="51" fillId="12" borderId="7" xfId="0" applyNumberFormat="1" applyFont="1" applyFill="1" applyBorder="1" applyAlignment="1">
      <alignment horizontal="center" vertical="center" wrapText="1"/>
    </xf>
    <xf numFmtId="4" fontId="51" fillId="12" borderId="8" xfId="0" applyNumberFormat="1" applyFont="1" applyFill="1" applyBorder="1" applyAlignment="1">
      <alignment horizontal="center" vertical="center" wrapText="1"/>
    </xf>
    <xf numFmtId="4" fontId="51" fillId="12" borderId="9" xfId="0" applyNumberFormat="1" applyFont="1" applyFill="1" applyBorder="1" applyAlignment="1">
      <alignment horizontal="center" vertical="center" wrapText="1"/>
    </xf>
    <xf numFmtId="0" fontId="30" fillId="3" borderId="1" xfId="0" applyFont="1" applyFill="1" applyBorder="1" applyAlignment="1">
      <alignment horizontal="center" vertical="center"/>
    </xf>
    <xf numFmtId="4" fontId="29" fillId="29" borderId="1" xfId="0" applyNumberFormat="1" applyFont="1" applyFill="1" applyBorder="1" applyAlignment="1" applyProtection="1">
      <alignment horizontal="center" vertical="center" wrapText="1"/>
      <protection locked="0"/>
    </xf>
    <xf numFmtId="4" fontId="29" fillId="12" borderId="1" xfId="0" applyNumberFormat="1" applyFont="1" applyFill="1" applyBorder="1" applyAlignment="1">
      <alignment horizontal="center" vertical="center" wrapText="1"/>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30" fillId="3" borderId="9" xfId="0" applyFont="1" applyFill="1" applyBorder="1" applyAlignment="1">
      <alignment horizontal="center" vertical="center"/>
    </xf>
    <xf numFmtId="0" fontId="41" fillId="0" borderId="1" xfId="8" applyFont="1" applyBorder="1" applyAlignment="1">
      <alignment horizontal="center" vertical="center" wrapText="1"/>
    </xf>
  </cellXfs>
  <cellStyles count="11">
    <cellStyle name="Comma" xfId="2" builtinId="3"/>
    <cellStyle name="Comma 2" xfId="6" xr:uid="{AA347CC1-1032-4EDA-BC07-48068E8A2A47}"/>
    <cellStyle name="Normal" xfId="0" builtinId="0"/>
    <cellStyle name="Normal 2" xfId="1" xr:uid="{53D0CDB3-D10A-4681-B5CC-25792773A8F4}"/>
    <cellStyle name="Normal 3" xfId="4" xr:uid="{58924D3F-5440-45B5-98D7-28454B2E326F}"/>
    <cellStyle name="Normal 4" xfId="5" xr:uid="{55304078-AB2F-4C5D-83CB-27F6F57D7FB8}"/>
    <cellStyle name="Normal 4 2" xfId="8" xr:uid="{FE0A9D82-D25A-496B-A581-395E1226E8D7}"/>
    <cellStyle name="Normal 4 2 2" xfId="9" xr:uid="{E723A4BD-AA55-4BB6-939D-D690760FEAB3}"/>
    <cellStyle name="Normal 5" xfId="3" xr:uid="{9A28F3E4-EA83-4F9F-B2C0-0714E7217D96}"/>
    <cellStyle name="Percent" xfId="10" builtinId="5"/>
    <cellStyle name="Percent 2" xfId="7" xr:uid="{4BEBEAEF-E54A-4CF2-9F4A-2F2AD5ABDD74}"/>
  </cellStyles>
  <dxfs count="1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5050"/>
        </patternFill>
      </fill>
    </dxf>
    <dxf>
      <font>
        <color auto="1"/>
      </font>
      <fill>
        <patternFill>
          <bgColor rgb="FFFF5050"/>
        </patternFill>
      </fill>
    </dxf>
    <dxf>
      <font>
        <color auto="1"/>
      </font>
      <fill>
        <patternFill>
          <bgColor theme="5" tint="0.79998168889431442"/>
        </patternFill>
      </fill>
    </dxf>
  </dxfs>
  <tableStyles count="0" defaultTableStyle="TableStyleMedium2" defaultPivotStyle="PivotStyleLight16"/>
  <colors>
    <mruColors>
      <color rgb="FF9E0000"/>
      <color rgb="FFFF5050"/>
      <color rgb="FFFFCC99"/>
      <color rgb="FFFCECE4"/>
      <color rgb="FFF1A983"/>
      <color rgb="FFE4E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1616288</xdr:colOff>
      <xdr:row>30</xdr:row>
      <xdr:rowOff>0</xdr:rowOff>
    </xdr:from>
    <xdr:ext cx="0" cy="1752135"/>
    <xdr:pic>
      <xdr:nvPicPr>
        <xdr:cNvPr id="2" name="Picture 1">
          <a:extLst>
            <a:ext uri="{FF2B5EF4-FFF2-40B4-BE49-F238E27FC236}">
              <a16:creationId xmlns:a16="http://schemas.microsoft.com/office/drawing/2014/main" id="{A0007B1A-8542-4C2E-9AA4-2F274856152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177"/>
        <a:stretch/>
      </xdr:blipFill>
      <xdr:spPr bwMode="auto">
        <a:xfrm>
          <a:off x="3930863" y="10896600"/>
          <a:ext cx="0" cy="17521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4264611</xdr:colOff>
      <xdr:row>30</xdr:row>
      <xdr:rowOff>0</xdr:rowOff>
    </xdr:from>
    <xdr:ext cx="0" cy="1714646"/>
    <xdr:pic>
      <xdr:nvPicPr>
        <xdr:cNvPr id="3" name="Picture 2">
          <a:extLst>
            <a:ext uri="{FF2B5EF4-FFF2-40B4-BE49-F238E27FC236}">
              <a16:creationId xmlns:a16="http://schemas.microsoft.com/office/drawing/2014/main" id="{8F4EDAD3-FDF1-483E-B0B3-724A3C20A5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9186" y="10896600"/>
          <a:ext cx="0" cy="17146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271095</xdr:colOff>
      <xdr:row>0</xdr:row>
      <xdr:rowOff>10502</xdr:rowOff>
    </xdr:from>
    <xdr:ext cx="1062109" cy="581025"/>
    <xdr:pic>
      <xdr:nvPicPr>
        <xdr:cNvPr id="4" name="Picture 3">
          <a:extLst>
            <a:ext uri="{FF2B5EF4-FFF2-40B4-BE49-F238E27FC236}">
              <a16:creationId xmlns:a16="http://schemas.microsoft.com/office/drawing/2014/main" id="{A9784AFB-87BE-4FF5-BF6D-C3E5AAC2D68D}"/>
            </a:ext>
          </a:extLst>
        </xdr:cNvPr>
        <xdr:cNvPicPr>
          <a:picLocks noChangeAspect="1"/>
        </xdr:cNvPicPr>
      </xdr:nvPicPr>
      <xdr:blipFill>
        <a:blip xmlns:r="http://schemas.openxmlformats.org/officeDocument/2006/relationships" r:embed="rId3"/>
        <a:stretch>
          <a:fillRect/>
        </a:stretch>
      </xdr:blipFill>
      <xdr:spPr>
        <a:xfrm>
          <a:off x="271095" y="10502"/>
          <a:ext cx="1062109" cy="581025"/>
        </a:xfrm>
        <a:prstGeom prst="rect">
          <a:avLst/>
        </a:prstGeom>
      </xdr:spPr>
    </xdr:pic>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200</v>
    <v>6</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97A4BC1F-A5EE-4DF4-9C91-D78090E644DB}">
  <sheetPr codeName="Sheet8">
    <tabColor theme="9" tint="0.79998168889431442"/>
  </sheetPr>
  <dimension ref="A1:C17"/>
  <sheetViews>
    <sheetView zoomScaleNormal="100" workbookViewId="0">
      <selection activeCell="A6" sqref="A6"/>
    </sheetView>
  </sheetViews>
  <sheetFormatPr defaultColWidth="0" defaultRowHeight="15" zeroHeight="1"/>
  <cols>
    <col min="1" max="1" width="50.85546875" style="10" customWidth="1"/>
    <col min="2" max="2" width="50.85546875" customWidth="1"/>
    <col min="3" max="3" width="8.85546875" style="4" customWidth="1"/>
    <col min="4" max="16384" width="8.85546875" hidden="1"/>
  </cols>
  <sheetData>
    <row r="1" spans="1:2"/>
  </sheetData>
  <sheetProtection algorithmName="SHA-512" hashValue="JT29qKUMR61+mfsooOgU1OwG66WWJ4h9rPqHsqlxTrjlSX0LH0HwzRtSZnbVrV1uaoitytuMl6eNEISYp8rbcA==" saltValue="Y2iZe4naZsHIbr9gWKeHUA=="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1E39-A449-47D7-97CC-5A7A87B899B7}">
  <sheetPr codeName="Sheet9">
    <tabColor theme="9" tint="0.79998168889431442"/>
  </sheetPr>
  <dimension ref="A1:D41"/>
  <sheetViews>
    <sheetView zoomScaleNormal="100" workbookViewId="0">
      <selection activeCell="A30" sqref="A30:XFD111"/>
    </sheetView>
  </sheetViews>
  <sheetFormatPr defaultColWidth="0" defaultRowHeight="14.45" customHeight="1" zeroHeight="1"/>
  <cols>
    <col min="1" max="1" width="6.85546875" style="4" customWidth="1"/>
    <col min="2" max="2" width="13.42578125" style="4" customWidth="1"/>
    <col min="3" max="3" width="14.42578125" customWidth="1"/>
    <col min="4" max="4" width="162.140625" style="4" customWidth="1"/>
    <col min="5" max="16384" width="136.42578125" hidden="1"/>
  </cols>
  <sheetData>
    <row r="1" spans="1:4" ht="15">
      <c r="C1" s="4"/>
    </row>
    <row r="2" spans="1:4" ht="15">
      <c r="C2" s="31" t="s">
        <v>51</v>
      </c>
    </row>
    <row r="3" spans="1:4" ht="18.600000000000001" customHeight="1" thickBot="1">
      <c r="A3" s="39"/>
      <c r="B3" s="39"/>
      <c r="C3" s="40" t="s">
        <v>52</v>
      </c>
      <c r="D3" s="39"/>
    </row>
    <row r="4" spans="1:4" s="4" customFormat="1" ht="15">
      <c r="B4" s="31"/>
    </row>
    <row r="5" spans="1:4" s="4" customFormat="1" ht="15">
      <c r="B5" s="6" t="s">
        <v>889</v>
      </c>
    </row>
    <row r="6" spans="1:4" s="4" customFormat="1" ht="15">
      <c r="B6" s="31" t="s">
        <v>53</v>
      </c>
    </row>
    <row r="7" spans="1:4" s="4" customFormat="1" ht="15">
      <c r="D7" s="4" t="s">
        <v>54</v>
      </c>
    </row>
    <row r="8" spans="1:4" s="4" customFormat="1" ht="15">
      <c r="B8" s="31"/>
      <c r="C8" s="167" t="s">
        <v>864</v>
      </c>
      <c r="D8" s="4" t="s">
        <v>890</v>
      </c>
    </row>
    <row r="9" spans="1:4" s="4" customFormat="1" ht="15">
      <c r="B9" s="31"/>
      <c r="D9" s="4" t="s">
        <v>891</v>
      </c>
    </row>
    <row r="10" spans="1:4" s="4" customFormat="1" ht="15"/>
    <row r="11" spans="1:4" s="4" customFormat="1" ht="15">
      <c r="B11" s="6" t="s">
        <v>883</v>
      </c>
    </row>
    <row r="12" spans="1:4" s="4" customFormat="1" ht="15">
      <c r="B12" s="31" t="s">
        <v>55</v>
      </c>
      <c r="C12" s="167" t="s">
        <v>33</v>
      </c>
      <c r="D12" s="4" t="s">
        <v>882</v>
      </c>
    </row>
    <row r="13" spans="1:4" s="4" customFormat="1" ht="15">
      <c r="C13" s="41"/>
      <c r="D13" s="4" t="s">
        <v>31</v>
      </c>
    </row>
    <row r="14" spans="1:4" s="4" customFormat="1" ht="15">
      <c r="D14" s="4" t="s">
        <v>56</v>
      </c>
    </row>
    <row r="15" spans="1:4" s="4" customFormat="1" ht="15">
      <c r="D15" s="4" t="s">
        <v>878</v>
      </c>
    </row>
    <row r="16" spans="1:4" s="4" customFormat="1" ht="15">
      <c r="D16" s="4" t="s">
        <v>879</v>
      </c>
    </row>
    <row r="17" spans="2:4" s="4" customFormat="1" ht="15">
      <c r="D17" s="4" t="s">
        <v>57</v>
      </c>
    </row>
    <row r="18" spans="2:4" s="4" customFormat="1" ht="15">
      <c r="D18" s="4" t="s">
        <v>880</v>
      </c>
    </row>
    <row r="19" spans="2:4" s="4" customFormat="1" ht="15">
      <c r="D19" s="4" t="s">
        <v>881</v>
      </c>
    </row>
    <row r="20" spans="2:4" s="4" customFormat="1" ht="15"/>
    <row r="21" spans="2:4" s="4" customFormat="1" ht="15">
      <c r="B21" s="6" t="s">
        <v>884</v>
      </c>
      <c r="C21" s="6"/>
    </row>
    <row r="22" spans="2:4" s="4" customFormat="1" ht="15">
      <c r="B22" s="31" t="s">
        <v>58</v>
      </c>
    </row>
    <row r="23" spans="2:4" s="4" customFormat="1" ht="15">
      <c r="C23" s="7" t="s">
        <v>885</v>
      </c>
      <c r="D23" s="4" t="s">
        <v>59</v>
      </c>
    </row>
    <row r="24" spans="2:4" s="4" customFormat="1" ht="15">
      <c r="B24" s="31"/>
      <c r="C24" s="41"/>
      <c r="D24" s="4" t="s">
        <v>31</v>
      </c>
    </row>
    <row r="25" spans="2:4" s="4" customFormat="1" ht="15">
      <c r="B25" s="31"/>
      <c r="C25" s="8"/>
      <c r="D25" s="4" t="s">
        <v>36</v>
      </c>
    </row>
    <row r="26" spans="2:4" s="4" customFormat="1" ht="30">
      <c r="B26" s="31"/>
      <c r="C26" s="8"/>
      <c r="D26" s="42" t="s">
        <v>886</v>
      </c>
    </row>
    <row r="27" spans="2:4" s="4" customFormat="1" ht="15">
      <c r="B27" s="31"/>
      <c r="C27" s="8"/>
      <c r="D27" s="4" t="s">
        <v>887</v>
      </c>
    </row>
    <row r="28" spans="2:4" s="4" customFormat="1" ht="15">
      <c r="B28" s="31"/>
      <c r="D28" s="4" t="s">
        <v>888</v>
      </c>
    </row>
    <row r="29" spans="2:4" s="4" customFormat="1" ht="15">
      <c r="B29" s="31"/>
    </row>
    <row r="30" spans="2:4" s="4" customFormat="1" ht="15" hidden="1">
      <c r="B30" s="31"/>
    </row>
    <row r="31" spans="2:4" ht="14.45" hidden="1" customHeight="1">
      <c r="C31" s="4"/>
    </row>
    <row r="32" spans="2:4" ht="14.45" hidden="1" customHeight="1">
      <c r="C32" s="4"/>
    </row>
    <row r="33" spans="3:3" ht="14.45" hidden="1" customHeight="1">
      <c r="C33" s="4"/>
    </row>
    <row r="34" spans="3:3" ht="14.45" hidden="1" customHeight="1">
      <c r="C34" s="4"/>
    </row>
    <row r="35" spans="3:3" ht="14.45" hidden="1" customHeight="1">
      <c r="C35" s="4"/>
    </row>
    <row r="36" spans="3:3" ht="14.45" hidden="1" customHeight="1">
      <c r="C36" s="4"/>
    </row>
    <row r="37" spans="3:3" ht="14.45" hidden="1" customHeight="1">
      <c r="C37" s="4"/>
    </row>
    <row r="38" spans="3:3" ht="14.45" hidden="1" customHeight="1">
      <c r="C38" s="4"/>
    </row>
    <row r="39" spans="3:3" ht="14.45" hidden="1" customHeight="1">
      <c r="C39" s="4"/>
    </row>
    <row r="40" spans="3:3" ht="14.45" hidden="1" customHeight="1">
      <c r="C40" s="4"/>
    </row>
    <row r="41" spans="3:3" ht="14.45" hidden="1" customHeight="1">
      <c r="C41" s="4"/>
    </row>
  </sheetData>
  <sheetProtection algorithmName="SHA-512" hashValue="SmpUUApFN4dJKhwO8HZ9edq24JwgGT/jK6I1qidSPSokdPCokcJdMU55YPifsw4Bh7Ogz6FQKIcgp5a+meRodg==" saltValue="PeTH7GH2KH34Cj7Nh39I+w=="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5096-A076-4364-80AC-AD7082A8EF51}">
  <sheetPr codeName="Sheet1">
    <tabColor rgb="FF00B050"/>
  </sheetPr>
  <dimension ref="A1:U503"/>
  <sheetViews>
    <sheetView tabSelected="1" zoomScaleNormal="100" workbookViewId="0">
      <pane xSplit="1" ySplit="1" topLeftCell="E7" activePane="bottomRight" state="frozen"/>
      <selection pane="topRight" activeCell="B1" sqref="B1"/>
      <selection pane="bottomLeft" activeCell="A2" sqref="A2"/>
      <selection pane="bottomRight" activeCell="E66" sqref="E66"/>
    </sheetView>
  </sheetViews>
  <sheetFormatPr defaultColWidth="8.85546875" defaultRowHeight="15" customHeight="1"/>
  <cols>
    <col min="1" max="1" width="30.7109375" bestFit="1" customWidth="1"/>
    <col min="2" max="2" width="34.7109375" bestFit="1" customWidth="1"/>
    <col min="3" max="3" width="47.5703125" customWidth="1"/>
    <col min="4" max="4" width="12.140625" customWidth="1"/>
    <col min="5" max="5" width="8.5703125" bestFit="1" customWidth="1"/>
    <col min="6" max="6" width="8.140625" bestFit="1" customWidth="1"/>
    <col min="7" max="7" width="8.28515625" customWidth="1"/>
    <col min="8" max="8" width="8.140625" customWidth="1"/>
    <col min="9" max="9" width="60.5703125" customWidth="1"/>
    <col min="10" max="10" width="14" customWidth="1"/>
    <col min="11" max="11" width="11.85546875" customWidth="1"/>
    <col min="12" max="12" width="9.5703125" customWidth="1"/>
    <col min="13" max="13" width="61.7109375" bestFit="1" customWidth="1"/>
    <col min="14" max="14" width="16.42578125" customWidth="1"/>
    <col min="15" max="15" width="13.140625" customWidth="1"/>
    <col min="16" max="16" width="14.42578125" customWidth="1"/>
    <col min="17" max="17" width="40.42578125" customWidth="1"/>
    <col min="18" max="18" width="36.42578125" customWidth="1"/>
    <col min="19" max="19" width="31.85546875" customWidth="1"/>
    <col min="20" max="20" width="29.5703125" customWidth="1"/>
    <col min="21" max="21" width="7.5703125" customWidth="1"/>
    <col min="22" max="22" width="8.85546875" customWidth="1"/>
  </cols>
  <sheetData>
    <row r="1" spans="1:21" ht="30.95" customHeight="1">
      <c r="A1" s="185" t="s">
        <v>0</v>
      </c>
      <c r="B1" s="185" t="s">
        <v>165</v>
      </c>
      <c r="C1" s="185" t="s">
        <v>913</v>
      </c>
      <c r="D1" s="185" t="s">
        <v>166</v>
      </c>
      <c r="E1" s="185" t="s">
        <v>69</v>
      </c>
      <c r="F1" s="185" t="s">
        <v>167</v>
      </c>
      <c r="G1" s="186" t="s">
        <v>186</v>
      </c>
      <c r="H1" s="187" t="s">
        <v>168</v>
      </c>
      <c r="I1" s="188" t="s">
        <v>169</v>
      </c>
      <c r="J1" s="188" t="s">
        <v>68</v>
      </c>
      <c r="K1" s="189" t="s">
        <v>186</v>
      </c>
      <c r="L1" s="188" t="s">
        <v>852</v>
      </c>
      <c r="M1" s="188" t="s">
        <v>853</v>
      </c>
      <c r="N1" s="188" t="s">
        <v>73</v>
      </c>
      <c r="O1" s="188" t="s">
        <v>168</v>
      </c>
      <c r="P1" s="188" t="s">
        <v>854</v>
      </c>
      <c r="Q1" s="188" t="s">
        <v>170</v>
      </c>
      <c r="R1" s="188" t="s">
        <v>855</v>
      </c>
      <c r="S1" s="188" t="s">
        <v>171</v>
      </c>
      <c r="T1" s="188" t="s">
        <v>172</v>
      </c>
      <c r="U1" s="185" t="s">
        <v>892</v>
      </c>
    </row>
    <row r="2" spans="1:21" ht="15" customHeight="1">
      <c r="A2" s="190" t="str">
        <f>U2&amp;"- "&amp;B2&amp;"-"&amp;F2&amp;"W"</f>
        <v>1- LED_Candle_Light-5W</v>
      </c>
      <c r="B2" s="123" t="s">
        <v>194</v>
      </c>
      <c r="C2" s="125" t="s">
        <v>1186</v>
      </c>
      <c r="D2" s="190" t="str" cm="1">
        <f t="array" ref="D2:G2">IFERROR(VLOOKUP(C2,Old_Model_Registry!$B$2:$K$500,{3,10,8,9},0),"")</f>
        <v>LED</v>
      </c>
      <c r="E2" s="190">
        <v>1</v>
      </c>
      <c r="F2" s="190">
        <v>5</v>
      </c>
      <c r="G2" s="191">
        <v>350</v>
      </c>
      <c r="H2" s="192">
        <f>E2*F2</f>
        <v>5</v>
      </c>
      <c r="I2" s="121" t="s">
        <v>1046</v>
      </c>
      <c r="J2" s="193" cm="1">
        <f t="array" ref="J2">IF(I2="No-Retrofit",F2,IFERROR(VLOOKUP(I2,Vstack!$A$2:$L$1000,{8},0),""))</f>
        <v>5</v>
      </c>
      <c r="K2" s="194" cm="1">
        <f t="array" ref="K2">IF(I2="No-Retrofit",F2,IFERROR(VLOOKUP(I2,Vstack!$A$2:$L$1000,{9},0)*N2,""))</f>
        <v>500</v>
      </c>
      <c r="L2" s="193" cm="1">
        <f t="array" ref="L2:M2">IF(I2="No-Retrofit",F2,IFERROR(VLOOKUP(I2,Vstack!$A$2:$L$1000,{10,4},0),""))</f>
        <v>4000</v>
      </c>
      <c r="M2" s="193" t="str">
        <v>Ess Candle 5W 4000K B35 220-240V E14 IP20 ND</v>
      </c>
      <c r="N2" s="121">
        <v>1</v>
      </c>
      <c r="O2" s="193">
        <f>IFERROR(N2*J2,"")</f>
        <v>5</v>
      </c>
      <c r="P2" s="195">
        <f>IFERROR(-(O2/H2-1),"")</f>
        <v>0</v>
      </c>
      <c r="Q2" s="246"/>
      <c r="R2" s="229"/>
      <c r="S2" s="231"/>
      <c r="T2" s="229"/>
      <c r="U2" s="196">
        <v>1</v>
      </c>
    </row>
    <row r="3" spans="1:21" ht="15" customHeight="1">
      <c r="A3" s="190" t="str">
        <f t="shared" ref="A3:A66" si="0">U3&amp;"- "&amp;B3&amp;"-"&amp;F3&amp;"W"</f>
        <v>2- CFL-35W</v>
      </c>
      <c r="B3" s="123" t="s">
        <v>93</v>
      </c>
      <c r="C3" s="125" t="s">
        <v>980</v>
      </c>
      <c r="D3" s="190" t="str" cm="1">
        <f t="array" ref="D3:G3">IFERROR(VLOOKUP(C3,Old_Model_Registry!$B$2:$K$500,{3,10,8,9},0),"")</f>
        <v>Conv</v>
      </c>
      <c r="E3" s="190">
        <v>1</v>
      </c>
      <c r="F3" s="190">
        <v>35</v>
      </c>
      <c r="G3" s="191">
        <v>1750</v>
      </c>
      <c r="H3" s="192">
        <f t="shared" ref="H3:H66" si="1">E3*F3</f>
        <v>35</v>
      </c>
      <c r="I3" s="121" t="s">
        <v>1047</v>
      </c>
      <c r="J3" s="193" cm="1">
        <f t="array" ref="J3">IF(I3="No-Retrofit",F3,IFERROR(VLOOKUP(I3,Vstack!$A$2:$L$1000,{8},0),""))</f>
        <v>17.7</v>
      </c>
      <c r="K3" s="224" cm="1">
        <f t="array" ref="K3">IF(I3="No-Retrofit",F3,IFERROR(VLOOKUP(I3,Vstack!$A$2:$L$1000,{9},0)*N3,""))</f>
        <v>1770</v>
      </c>
      <c r="L3" s="193" cm="1">
        <f t="array" ref="L3:M3">IF(I3="No-Retrofit",F3,IFERROR(VLOOKUP(I3,Vstack!$A$2:$L$1000,{10,4},0),""))</f>
        <v>4000</v>
      </c>
      <c r="M3" s="193" t="str">
        <v>Ess Bulb 17.7W 4000K A65 220-240V E27 IP20 ND</v>
      </c>
      <c r="N3" s="121">
        <v>1</v>
      </c>
      <c r="O3" s="193">
        <f t="shared" ref="O3:O66" si="2">IFERROR(N3*J3,"")</f>
        <v>17.7</v>
      </c>
      <c r="P3" s="195">
        <f t="shared" ref="P3:P66" si="3">IFERROR(-(O3/H3-1),"")</f>
        <v>0.49428571428571433</v>
      </c>
      <c r="Q3" s="246"/>
      <c r="R3" s="229"/>
      <c r="S3" s="231"/>
      <c r="T3" s="229"/>
      <c r="U3" s="196">
        <v>2</v>
      </c>
    </row>
    <row r="4" spans="1:21" ht="15" customHeight="1">
      <c r="A4" s="190" t="str">
        <f t="shared" si="0"/>
        <v>3- CFL-12W</v>
      </c>
      <c r="B4" s="123" t="s">
        <v>93</v>
      </c>
      <c r="C4" s="125" t="s">
        <v>981</v>
      </c>
      <c r="D4" s="190" t="str" cm="1">
        <f t="array" ref="D4:G4">IFERROR(VLOOKUP(C4,Old_Model_Registry!$B$2:$K$500,{3,10,8,9},0),"")</f>
        <v>Conv</v>
      </c>
      <c r="E4" s="190">
        <v>1</v>
      </c>
      <c r="F4" s="190">
        <v>12</v>
      </c>
      <c r="G4" s="191">
        <v>600</v>
      </c>
      <c r="H4" s="192">
        <f t="shared" si="1"/>
        <v>12</v>
      </c>
      <c r="I4" s="121" t="s">
        <v>1180</v>
      </c>
      <c r="J4" s="193" cm="1">
        <f t="array" ref="J4">IF(I4="No-Retrofit",F4,IFERROR(VLOOKUP(I4,Vstack!$A$2:$L$1000,{8},0),""))</f>
        <v>7</v>
      </c>
      <c r="K4" s="224" cm="1">
        <f t="array" ref="K4">IF(I4="No-Retrofit",F4,IFERROR(VLOOKUP(I4,Vstack!$A$2:$L$1000,{9},0)*N4,""))</f>
        <v>840</v>
      </c>
      <c r="L4" s="193" cm="1">
        <f t="array" ref="L4:M4">IF(I4="No-Retrofit",F4,IFERROR(VLOOKUP(I4,Vstack!$A$2:$L$1000,{10,4},0),""))</f>
        <v>4000</v>
      </c>
      <c r="M4" s="193" t="str">
        <v>Ess Stick 7W 4000K T36 100-240V E27 IP20 ND</v>
      </c>
      <c r="N4" s="121">
        <v>1</v>
      </c>
      <c r="O4" s="193">
        <f t="shared" si="2"/>
        <v>7</v>
      </c>
      <c r="P4" s="195">
        <f t="shared" si="3"/>
        <v>0.41666666666666663</v>
      </c>
      <c r="Q4" s="246"/>
      <c r="R4" s="229"/>
      <c r="S4" s="231"/>
      <c r="T4" s="229"/>
      <c r="U4" s="196">
        <v>3</v>
      </c>
    </row>
    <row r="5" spans="1:21" ht="15" customHeight="1">
      <c r="A5" s="190" t="str">
        <f t="shared" si="0"/>
        <v>4- CFL-15W</v>
      </c>
      <c r="B5" s="123" t="s">
        <v>93</v>
      </c>
      <c r="C5" s="125" t="s">
        <v>982</v>
      </c>
      <c r="D5" s="190" t="str" cm="1">
        <f t="array" ref="D5:G5">IFERROR(VLOOKUP(C5,Old_Model_Registry!$B$2:$K$500,{3,10,8,9},0),"")</f>
        <v>Conv</v>
      </c>
      <c r="E5" s="190">
        <v>1</v>
      </c>
      <c r="F5" s="190">
        <v>15</v>
      </c>
      <c r="G5" s="191">
        <v>750</v>
      </c>
      <c r="H5" s="192">
        <f t="shared" si="1"/>
        <v>15</v>
      </c>
      <c r="I5" s="121" t="s">
        <v>1180</v>
      </c>
      <c r="J5" s="193" cm="1">
        <f t="array" ref="J5">IF(I5="No-Retrofit",F5,IFERROR(VLOOKUP(I5,Vstack!$A$2:$L$1000,{8},0),""))</f>
        <v>7</v>
      </c>
      <c r="K5" s="224" cm="1">
        <f t="array" ref="K5">IF(I5="No-Retrofit",F5,IFERROR(VLOOKUP(I5,Vstack!$A$2:$L$1000,{9},0)*N5,""))</f>
        <v>840</v>
      </c>
      <c r="L5" s="193" cm="1">
        <f t="array" ref="L5:M5">IF(I5="No-Retrofit",F5,IFERROR(VLOOKUP(I5,Vstack!$A$2:$L$1000,{10,4},0),""))</f>
        <v>4000</v>
      </c>
      <c r="M5" s="193" t="str">
        <v>Ess Stick 7W 4000K T36 100-240V E27 IP20 ND</v>
      </c>
      <c r="N5" s="121">
        <v>1</v>
      </c>
      <c r="O5" s="193">
        <f t="shared" si="2"/>
        <v>7</v>
      </c>
      <c r="P5" s="195">
        <f t="shared" si="3"/>
        <v>0.53333333333333333</v>
      </c>
      <c r="Q5" s="246"/>
      <c r="R5" s="229"/>
      <c r="S5" s="231"/>
      <c r="T5" s="229"/>
      <c r="U5" s="196">
        <v>4</v>
      </c>
    </row>
    <row r="6" spans="1:21" ht="15" customHeight="1">
      <c r="A6" s="190" t="str">
        <f t="shared" si="0"/>
        <v>5- CFL-18W</v>
      </c>
      <c r="B6" s="123" t="s">
        <v>93</v>
      </c>
      <c r="C6" s="125" t="s">
        <v>983</v>
      </c>
      <c r="D6" s="190" t="str" cm="1">
        <f t="array" ref="D6:G6">IFERROR(VLOOKUP(C6,Old_Model_Registry!$B$2:$K$500,{3,10,8,9},0),"")</f>
        <v>Conv</v>
      </c>
      <c r="E6" s="190">
        <v>1</v>
      </c>
      <c r="F6" s="190">
        <v>18</v>
      </c>
      <c r="G6" s="191">
        <v>900</v>
      </c>
      <c r="H6" s="192">
        <f t="shared" si="1"/>
        <v>18</v>
      </c>
      <c r="I6" s="121" t="s">
        <v>1181</v>
      </c>
      <c r="J6" s="193" cm="1">
        <f t="array" ref="J6">IF(I6="No-Retrofit",F6,IFERROR(VLOOKUP(I6,Vstack!$A$2:$L$1000,{8},0),""))</f>
        <v>9</v>
      </c>
      <c r="K6" s="224" cm="1">
        <f t="array" ref="K6">IF(I6="No-Retrofit",F6,IFERROR(VLOOKUP(I6,Vstack!$A$2:$L$1000,{9},0)*N6,""))</f>
        <v>1080</v>
      </c>
      <c r="L6" s="193" cm="1">
        <f t="array" ref="L6:M6">IF(I6="No-Retrofit",F6,IFERROR(VLOOKUP(I6,Vstack!$A$2:$L$1000,{10,4},0),""))</f>
        <v>4000</v>
      </c>
      <c r="M6" s="193" t="str">
        <v>Ess Stick 9W 4000K T36 100-240V E27 IP20 ND</v>
      </c>
      <c r="N6" s="121">
        <v>1</v>
      </c>
      <c r="O6" s="193">
        <f t="shared" si="2"/>
        <v>9</v>
      </c>
      <c r="P6" s="195">
        <f t="shared" si="3"/>
        <v>0.5</v>
      </c>
      <c r="Q6" s="246"/>
      <c r="R6" s="229"/>
      <c r="S6" s="231"/>
      <c r="T6" s="229"/>
      <c r="U6" s="196">
        <v>5</v>
      </c>
    </row>
    <row r="7" spans="1:21" ht="15" customHeight="1">
      <c r="A7" s="190" t="str">
        <f t="shared" si="0"/>
        <v>6- CFL-20W</v>
      </c>
      <c r="B7" s="123" t="s">
        <v>93</v>
      </c>
      <c r="C7" s="125" t="s">
        <v>984</v>
      </c>
      <c r="D7" s="190" t="str" cm="1">
        <f t="array" ref="D7:G7">IFERROR(VLOOKUP(C7,Old_Model_Registry!$B$2:$K$500,{3,10,8,9},0),"")</f>
        <v>Conv</v>
      </c>
      <c r="E7" s="190">
        <v>1</v>
      </c>
      <c r="F7" s="190">
        <v>20</v>
      </c>
      <c r="G7" s="191">
        <v>1000</v>
      </c>
      <c r="H7" s="192">
        <f t="shared" si="1"/>
        <v>20</v>
      </c>
      <c r="I7" s="121" t="s">
        <v>1181</v>
      </c>
      <c r="J7" s="193" cm="1">
        <f t="array" ref="J7">IF(I7="No-Retrofit",F7,IFERROR(VLOOKUP(I7,Vstack!$A$2:$L$1000,{8},0),""))</f>
        <v>9</v>
      </c>
      <c r="K7" s="224" cm="1">
        <f t="array" ref="K7">IF(I7="No-Retrofit",F7,IFERROR(VLOOKUP(I7,Vstack!$A$2:$L$1000,{9},0)*N7,""))</f>
        <v>1080</v>
      </c>
      <c r="L7" s="193" cm="1">
        <f t="array" ref="L7:M7">IF(I7="No-Retrofit",F7,IFERROR(VLOOKUP(I7,Vstack!$A$2:$L$1000,{10,4},0),""))</f>
        <v>4000</v>
      </c>
      <c r="M7" s="193" t="str">
        <v>Ess Stick 9W 4000K T36 100-240V E27 IP20 ND</v>
      </c>
      <c r="N7" s="121">
        <v>1</v>
      </c>
      <c r="O7" s="193">
        <f t="shared" si="2"/>
        <v>9</v>
      </c>
      <c r="P7" s="195">
        <f t="shared" si="3"/>
        <v>0.55000000000000004</v>
      </c>
      <c r="Q7" s="246"/>
      <c r="R7" s="229"/>
      <c r="S7" s="231"/>
      <c r="T7" s="229"/>
      <c r="U7" s="196">
        <v>6</v>
      </c>
    </row>
    <row r="8" spans="1:21" ht="15" customHeight="1">
      <c r="A8" s="190" t="str">
        <f t="shared" si="0"/>
        <v>7- CFL-23W</v>
      </c>
      <c r="B8" s="123" t="s">
        <v>93</v>
      </c>
      <c r="C8" s="125" t="s">
        <v>985</v>
      </c>
      <c r="D8" s="190" t="str" cm="1">
        <f t="array" ref="D8:G8">IFERROR(VLOOKUP(C8,Old_Model_Registry!$B$2:$K$500,{3,10,8,9},0),"")</f>
        <v>Conv</v>
      </c>
      <c r="E8" s="190">
        <v>1</v>
      </c>
      <c r="F8" s="190">
        <v>23</v>
      </c>
      <c r="G8" s="191">
        <v>1150</v>
      </c>
      <c r="H8" s="192">
        <f t="shared" si="1"/>
        <v>23</v>
      </c>
      <c r="I8" s="121" t="s">
        <v>1065</v>
      </c>
      <c r="J8" s="193" cm="1">
        <f t="array" ref="J8">IF(I8="No-Retrofit",F8,IFERROR(VLOOKUP(I8,Vstack!$A$2:$L$1000,{8},0),""))</f>
        <v>10</v>
      </c>
      <c r="K8" s="224" cm="1">
        <f t="array" ref="K8">IF(I8="No-Retrofit",F8,IFERROR(VLOOKUP(I8,Vstack!$A$2:$L$1000,{9},0)*N8,""))</f>
        <v>1200</v>
      </c>
      <c r="L8" s="193" cm="1">
        <f t="array" ref="L8:M8">IF(I8="No-Retrofit",F8,IFERROR(VLOOKUP(I8,Vstack!$A$2:$L$1000,{10,4},0),""))</f>
        <v>4000</v>
      </c>
      <c r="M8" s="193" t="str">
        <v>Ess Stick 10W 4000K T36 100-240V E27 IP20 ND</v>
      </c>
      <c r="N8" s="121">
        <v>1</v>
      </c>
      <c r="O8" s="193">
        <f t="shared" si="2"/>
        <v>10</v>
      </c>
      <c r="P8" s="195">
        <f t="shared" si="3"/>
        <v>0.56521739130434789</v>
      </c>
      <c r="Q8" s="246"/>
      <c r="R8" s="229"/>
      <c r="S8" s="245"/>
      <c r="T8" s="229"/>
      <c r="U8" s="196">
        <v>7</v>
      </c>
    </row>
    <row r="9" spans="1:21" ht="15" customHeight="1">
      <c r="A9" s="190" t="str">
        <f t="shared" si="0"/>
        <v>8- CFL-40W</v>
      </c>
      <c r="B9" s="123" t="s">
        <v>93</v>
      </c>
      <c r="C9" s="125" t="s">
        <v>986</v>
      </c>
      <c r="D9" s="190" t="str" cm="1">
        <f t="array" ref="D9:G9">IFERROR(VLOOKUP(C9,Old_Model_Registry!$B$2:$K$500,{3,10,8,9},0),"")</f>
        <v>Conv</v>
      </c>
      <c r="E9" s="190">
        <v>1</v>
      </c>
      <c r="F9" s="190">
        <v>40</v>
      </c>
      <c r="G9" s="191">
        <v>2000</v>
      </c>
      <c r="H9" s="192">
        <f t="shared" si="1"/>
        <v>40</v>
      </c>
      <c r="I9" s="121" t="s">
        <v>1066</v>
      </c>
      <c r="J9" s="193" cm="1">
        <f t="array" ref="J9">IF(I9="No-Retrofit",F9,IFERROR(VLOOKUP(I9,Vstack!$A$2:$L$1000,{8},0),""))</f>
        <v>16</v>
      </c>
      <c r="K9" s="224" cm="1">
        <f t="array" ref="K9">IF(I9="No-Retrofit",F9,IFERROR(VLOOKUP(I9,Vstack!$A$2:$L$1000,{9},0)*N9,""))</f>
        <v>2000</v>
      </c>
      <c r="L9" s="193" cm="1">
        <f t="array" ref="L9:M9">IF(I9="No-Retrofit",F9,IFERROR(VLOOKUP(I9,Vstack!$A$2:$L$1000,{10,4},0),""))</f>
        <v>4000</v>
      </c>
      <c r="M9" s="193" t="str">
        <v>HQLLED200016W/840230VPROE276X1G3KSAOSRAM</v>
      </c>
      <c r="N9" s="121">
        <v>1</v>
      </c>
      <c r="O9" s="193">
        <f t="shared" si="2"/>
        <v>16</v>
      </c>
      <c r="P9" s="195">
        <f t="shared" si="3"/>
        <v>0.6</v>
      </c>
      <c r="Q9" s="246"/>
      <c r="R9" s="229"/>
      <c r="S9" s="231"/>
      <c r="T9" s="229"/>
      <c r="U9" s="196">
        <v>8</v>
      </c>
    </row>
    <row r="10" spans="1:21" ht="15" customHeight="1">
      <c r="A10" s="190" t="str">
        <f t="shared" si="0"/>
        <v>9- CFL-70W</v>
      </c>
      <c r="B10" s="123" t="s">
        <v>93</v>
      </c>
      <c r="C10" s="125" t="s">
        <v>987</v>
      </c>
      <c r="D10" s="190" t="str" cm="1">
        <f t="array" ref="D10:G10">IFERROR(VLOOKUP(C10,Old_Model_Registry!$B$2:$K$500,{3,10,8,9},0),"")</f>
        <v>Conv</v>
      </c>
      <c r="E10" s="190">
        <v>1</v>
      </c>
      <c r="F10" s="190">
        <v>70</v>
      </c>
      <c r="G10" s="191">
        <v>3500</v>
      </c>
      <c r="H10" s="192">
        <f t="shared" si="1"/>
        <v>70</v>
      </c>
      <c r="I10" s="121" t="s">
        <v>1067</v>
      </c>
      <c r="J10" s="193" cm="1">
        <f t="array" ref="J10">IF(I10="No-Retrofit",F10,IFERROR(VLOOKUP(I10,Vstack!$A$2:$L$1000,{8},0),""))</f>
        <v>25</v>
      </c>
      <c r="K10" s="224" cm="1">
        <f t="array" ref="K10">IF(I10="No-Retrofit",F10,IFERROR(VLOOKUP(I10,Vstack!$A$2:$L$1000,{9},0)*N10,""))</f>
        <v>4375</v>
      </c>
      <c r="L10" s="193" cm="1">
        <f t="array" ref="L10:M10">IF(I10="No-Retrofit",F10,IFERROR(VLOOKUP(I10,Vstack!$A$2:$L$1000,{10,4},0),""))</f>
        <v>4000</v>
      </c>
      <c r="M10" s="193" t="str">
        <v>Ult HLL 25W 4000K 100-240V E27 IP65 ND</v>
      </c>
      <c r="N10" s="121">
        <v>1</v>
      </c>
      <c r="O10" s="193">
        <f t="shared" si="2"/>
        <v>25</v>
      </c>
      <c r="P10" s="195">
        <f t="shared" si="3"/>
        <v>0.64285714285714279</v>
      </c>
      <c r="Q10" s="246"/>
      <c r="R10" s="229"/>
      <c r="S10" s="231"/>
      <c r="T10" s="229"/>
      <c r="U10" s="196">
        <v>9</v>
      </c>
    </row>
    <row r="11" spans="1:21" ht="15" customHeight="1">
      <c r="A11" s="190" t="str">
        <f t="shared" si="0"/>
        <v>10- FTL-18W</v>
      </c>
      <c r="B11" s="123" t="s">
        <v>80</v>
      </c>
      <c r="C11" s="125" t="s">
        <v>988</v>
      </c>
      <c r="D11" s="190" t="str" cm="1">
        <f t="array" ref="D11:G11">IFERROR(VLOOKUP(C11,Old_Model_Registry!$B$2:$K$500,{3,10,8,9},0),"")</f>
        <v>Conv</v>
      </c>
      <c r="E11" s="190">
        <v>1</v>
      </c>
      <c r="F11" s="190">
        <v>18</v>
      </c>
      <c r="G11" s="191">
        <v>900</v>
      </c>
      <c r="H11" s="192">
        <f t="shared" si="1"/>
        <v>18</v>
      </c>
      <c r="I11" s="121" t="s">
        <v>1050</v>
      </c>
      <c r="J11" s="193" cm="1">
        <f t="array" ref="J11">IF(I11="No-Retrofit",F11,IFERROR(VLOOKUP(I11,Vstack!$A$2:$L$1000,{8},0),""))</f>
        <v>5.2</v>
      </c>
      <c r="K11" s="224" cm="1">
        <f t="array" ref="K11">IF(I11="No-Retrofit",F11,IFERROR(VLOOKUP(I11,Vstack!$A$2:$L$1000,{9},0)*N11,""))</f>
        <v>1000</v>
      </c>
      <c r="L11" s="193" cm="1">
        <f t="array" ref="L11:M11">IF(I11="No-Retrofit",F11,IFERROR(VLOOKUP(I11,Vstack!$A$2:$L$1000,{10,4},0),""))</f>
        <v>4000</v>
      </c>
      <c r="M11" s="193" t="str">
        <v>Ult TLED T8 5.2W 4000K 60cm G13 IP20 ND</v>
      </c>
      <c r="N11" s="121">
        <v>1</v>
      </c>
      <c r="O11" s="193">
        <f t="shared" si="2"/>
        <v>5.2</v>
      </c>
      <c r="P11" s="195">
        <f t="shared" si="3"/>
        <v>0.71111111111111103</v>
      </c>
      <c r="Q11" s="246"/>
      <c r="R11" s="229"/>
      <c r="S11" s="231"/>
      <c r="T11" s="229"/>
      <c r="U11" s="196">
        <v>10</v>
      </c>
    </row>
    <row r="12" spans="1:21" ht="15" customHeight="1">
      <c r="A12" s="190" t="str">
        <f t="shared" si="0"/>
        <v>11- FTL-20W</v>
      </c>
      <c r="B12" s="123" t="s">
        <v>80</v>
      </c>
      <c r="C12" s="125" t="s">
        <v>989</v>
      </c>
      <c r="D12" s="190" t="str" cm="1">
        <f t="array" ref="D12:G12">IFERROR(VLOOKUP(C12,Old_Model_Registry!$B$2:$K$500,{3,10,8,9},0),"")</f>
        <v>Conv</v>
      </c>
      <c r="E12" s="190">
        <v>1</v>
      </c>
      <c r="F12" s="190">
        <v>20</v>
      </c>
      <c r="G12" s="191">
        <v>1000</v>
      </c>
      <c r="H12" s="192">
        <f t="shared" si="1"/>
        <v>20</v>
      </c>
      <c r="I12" s="121" t="s">
        <v>1050</v>
      </c>
      <c r="J12" s="193" cm="1">
        <f t="array" ref="J12">IF(I12="No-Retrofit",F12,IFERROR(VLOOKUP(I12,Vstack!$A$2:$L$1000,{8},0),""))</f>
        <v>5.2</v>
      </c>
      <c r="K12" s="224" cm="1">
        <f t="array" ref="K12">IF(I12="No-Retrofit",F12,IFERROR(VLOOKUP(I12,Vstack!$A$2:$L$1000,{9},0)*N12,""))</f>
        <v>1000</v>
      </c>
      <c r="L12" s="193" cm="1">
        <f t="array" ref="L12:M12">IF(I12="No-Retrofit",F12,IFERROR(VLOOKUP(I12,Vstack!$A$2:$L$1000,{10,4},0),""))</f>
        <v>4000</v>
      </c>
      <c r="M12" s="193" t="str">
        <v>Ult TLED T8 5.2W 4000K 60cm G13 IP20 ND</v>
      </c>
      <c r="N12" s="121">
        <v>1</v>
      </c>
      <c r="O12" s="193">
        <f t="shared" si="2"/>
        <v>5.2</v>
      </c>
      <c r="P12" s="195">
        <f t="shared" si="3"/>
        <v>0.74</v>
      </c>
      <c r="Q12" s="246"/>
      <c r="R12" s="229"/>
      <c r="S12" s="231"/>
      <c r="T12" s="229"/>
      <c r="U12" s="196">
        <v>11</v>
      </c>
    </row>
    <row r="13" spans="1:21" ht="15" customHeight="1">
      <c r="A13" s="190" t="str">
        <f t="shared" si="0"/>
        <v>12- FTL-14W</v>
      </c>
      <c r="B13" s="123" t="s">
        <v>80</v>
      </c>
      <c r="C13" s="125" t="s">
        <v>990</v>
      </c>
      <c r="D13" s="190" t="str" cm="1">
        <f t="array" ref="D13:G13">IFERROR(VLOOKUP(C13,Old_Model_Registry!$B$2:$K$500,{3,10,8,9},0),"")</f>
        <v>Conv</v>
      </c>
      <c r="E13" s="190">
        <v>1</v>
      </c>
      <c r="F13" s="190">
        <v>14</v>
      </c>
      <c r="G13" s="191">
        <v>700</v>
      </c>
      <c r="H13" s="192">
        <f t="shared" si="1"/>
        <v>14</v>
      </c>
      <c r="I13" s="121" t="s">
        <v>1051</v>
      </c>
      <c r="J13" s="193" cm="1">
        <f t="array" ref="J13">IF(I13="No-Retrofit",F13,IFERROR(VLOOKUP(I13,Vstack!$A$2:$L$1000,{8},0),""))</f>
        <v>8.6999999999999993</v>
      </c>
      <c r="K13" s="224" cm="1">
        <f t="array" ref="K13">IF(I13="No-Retrofit",F13,IFERROR(VLOOKUP(I13,Vstack!$A$2:$L$1000,{9},0)*N13,""))</f>
        <v>1800</v>
      </c>
      <c r="L13" s="193" cm="1">
        <f t="array" ref="L13:M13">IF(I13="No-Retrofit",F13,IFERROR(VLOOKUP(I13,Vstack!$A$2:$L$1000,{10,4},0),""))</f>
        <v>4000</v>
      </c>
      <c r="M13" s="193" t="str">
        <v>Ult TLED T8 8.7W 4000K 120cm G13 IP20 ND</v>
      </c>
      <c r="N13" s="121">
        <v>1</v>
      </c>
      <c r="O13" s="193">
        <f t="shared" si="2"/>
        <v>8.6999999999999993</v>
      </c>
      <c r="P13" s="195">
        <f t="shared" si="3"/>
        <v>0.37857142857142867</v>
      </c>
      <c r="Q13" s="246"/>
      <c r="R13" s="229"/>
      <c r="S13" s="231"/>
      <c r="T13" s="229"/>
      <c r="U13" s="196">
        <v>12</v>
      </c>
    </row>
    <row r="14" spans="1:21" ht="15" customHeight="1">
      <c r="A14" s="190" t="str">
        <f t="shared" si="0"/>
        <v>13- FTL-16W</v>
      </c>
      <c r="B14" s="123" t="s">
        <v>80</v>
      </c>
      <c r="C14" s="125" t="s">
        <v>991</v>
      </c>
      <c r="D14" s="190" t="str" cm="1">
        <f t="array" ref="D14:G14">IFERROR(VLOOKUP(C14,Old_Model_Registry!$B$2:$K$500,{3,10,8,9},0),"")</f>
        <v>Conv</v>
      </c>
      <c r="E14" s="190">
        <v>1</v>
      </c>
      <c r="F14" s="190">
        <v>16</v>
      </c>
      <c r="G14" s="191">
        <v>800</v>
      </c>
      <c r="H14" s="192">
        <f t="shared" si="1"/>
        <v>16</v>
      </c>
      <c r="I14" s="121" t="s">
        <v>1051</v>
      </c>
      <c r="J14" s="193" cm="1">
        <f t="array" ref="J14">IF(I14="No-Retrofit",F14,IFERROR(VLOOKUP(I14,Vstack!$A$2:$L$1000,{8},0),""))</f>
        <v>8.6999999999999993</v>
      </c>
      <c r="K14" s="224" cm="1">
        <f t="array" ref="K14">IF(I14="No-Retrofit",F14,IFERROR(VLOOKUP(I14,Vstack!$A$2:$L$1000,{9},0)*N14,""))</f>
        <v>1800</v>
      </c>
      <c r="L14" s="193" cm="1">
        <f t="array" ref="L14:M14">IF(I14="No-Retrofit",F14,IFERROR(VLOOKUP(I14,Vstack!$A$2:$L$1000,{10,4},0),""))</f>
        <v>4000</v>
      </c>
      <c r="M14" s="193" t="str">
        <v>Ult TLED T8 8.7W 4000K 120cm G13 IP20 ND</v>
      </c>
      <c r="N14" s="121">
        <v>1</v>
      </c>
      <c r="O14" s="193">
        <f t="shared" si="2"/>
        <v>8.6999999999999993</v>
      </c>
      <c r="P14" s="195">
        <f t="shared" si="3"/>
        <v>0.45625000000000004</v>
      </c>
      <c r="Q14" s="246"/>
      <c r="R14" s="229"/>
      <c r="S14" s="231"/>
      <c r="T14" s="229"/>
      <c r="U14" s="196">
        <v>13</v>
      </c>
    </row>
    <row r="15" spans="1:21" ht="15" customHeight="1">
      <c r="A15" s="190" t="str">
        <f t="shared" si="0"/>
        <v>14- FTL-18W</v>
      </c>
      <c r="B15" s="123" t="s">
        <v>80</v>
      </c>
      <c r="C15" s="125" t="s">
        <v>992</v>
      </c>
      <c r="D15" s="190" t="str" cm="1">
        <f t="array" ref="D15:G15">IFERROR(VLOOKUP(C15,Old_Model_Registry!$B$2:$K$500,{3,10,8,9},0),"")</f>
        <v>Conv</v>
      </c>
      <c r="E15" s="190">
        <v>1</v>
      </c>
      <c r="F15" s="190">
        <v>18</v>
      </c>
      <c r="G15" s="191">
        <v>900</v>
      </c>
      <c r="H15" s="192">
        <f t="shared" si="1"/>
        <v>18</v>
      </c>
      <c r="I15" s="121" t="s">
        <v>1051</v>
      </c>
      <c r="J15" s="193" cm="1">
        <f t="array" ref="J15">IF(I15="No-Retrofit",F15,IFERROR(VLOOKUP(I15,Vstack!$A$2:$L$1000,{8},0),""))</f>
        <v>8.6999999999999993</v>
      </c>
      <c r="K15" s="224" cm="1">
        <f t="array" ref="K15">IF(I15="No-Retrofit",F15,IFERROR(VLOOKUP(I15,Vstack!$A$2:$L$1000,{9},0)*N15,""))</f>
        <v>1800</v>
      </c>
      <c r="L15" s="193" cm="1">
        <f t="array" ref="L15:M15">IF(I15="No-Retrofit",F15,IFERROR(VLOOKUP(I15,Vstack!$A$2:$L$1000,{10,4},0),""))</f>
        <v>4000</v>
      </c>
      <c r="M15" s="193" t="str">
        <v>Ult TLED T8 8.7W 4000K 120cm G13 IP20 ND</v>
      </c>
      <c r="N15" s="121">
        <v>1</v>
      </c>
      <c r="O15" s="193">
        <f t="shared" si="2"/>
        <v>8.6999999999999993</v>
      </c>
      <c r="P15" s="195">
        <f t="shared" si="3"/>
        <v>0.51666666666666672</v>
      </c>
      <c r="Q15" s="246"/>
      <c r="R15" s="229"/>
      <c r="S15" s="245"/>
      <c r="T15" s="229"/>
      <c r="U15" s="196">
        <v>14</v>
      </c>
    </row>
    <row r="16" spans="1:21" ht="15" customHeight="1">
      <c r="A16" s="190" t="str">
        <f t="shared" si="0"/>
        <v>15- FTL-20W</v>
      </c>
      <c r="B16" s="123" t="s">
        <v>80</v>
      </c>
      <c r="C16" s="125" t="s">
        <v>993</v>
      </c>
      <c r="D16" s="190" t="str" cm="1">
        <f t="array" ref="D16:G16">IFERROR(VLOOKUP(C16,Old_Model_Registry!$B$2:$K$500,{3,10,8,9},0),"")</f>
        <v>Conv</v>
      </c>
      <c r="E16" s="190">
        <v>1</v>
      </c>
      <c r="F16" s="190">
        <v>20</v>
      </c>
      <c r="G16" s="191">
        <v>1000</v>
      </c>
      <c r="H16" s="192">
        <f t="shared" si="1"/>
        <v>20</v>
      </c>
      <c r="I16" s="121" t="s">
        <v>1051</v>
      </c>
      <c r="J16" s="193" cm="1">
        <f t="array" ref="J16">IF(I16="No-Retrofit",F16,IFERROR(VLOOKUP(I16,Vstack!$A$2:$L$1000,{8},0),""))</f>
        <v>8.6999999999999993</v>
      </c>
      <c r="K16" s="224" cm="1">
        <f t="array" ref="K16">IF(I16="No-Retrofit",F16,IFERROR(VLOOKUP(I16,Vstack!$A$2:$L$1000,{9},0)*N16,""))</f>
        <v>1800</v>
      </c>
      <c r="L16" s="193" cm="1">
        <f t="array" ref="L16:M16">IF(I16="No-Retrofit",F16,IFERROR(VLOOKUP(I16,Vstack!$A$2:$L$1000,{10,4},0),""))</f>
        <v>4000</v>
      </c>
      <c r="M16" s="193" t="str">
        <v>Ult TLED T8 8.7W 4000K 120cm G13 IP20 ND</v>
      </c>
      <c r="N16" s="121">
        <v>1</v>
      </c>
      <c r="O16" s="193">
        <f t="shared" si="2"/>
        <v>8.6999999999999993</v>
      </c>
      <c r="P16" s="195">
        <f t="shared" si="3"/>
        <v>0.56500000000000006</v>
      </c>
      <c r="Q16" s="246"/>
      <c r="R16" s="229"/>
      <c r="S16" s="231"/>
      <c r="T16" s="229"/>
      <c r="U16" s="196">
        <v>15</v>
      </c>
    </row>
    <row r="17" spans="1:21" ht="15" customHeight="1">
      <c r="A17" s="190" t="str">
        <f t="shared" si="0"/>
        <v>16- FTL-24W</v>
      </c>
      <c r="B17" s="123" t="s">
        <v>80</v>
      </c>
      <c r="C17" s="125" t="s">
        <v>994</v>
      </c>
      <c r="D17" s="190" t="str" cm="1">
        <f t="array" ref="D17:G17">IFERROR(VLOOKUP(C17,Old_Model_Registry!$B$2:$K$500,{3,10,8,9},0),"")</f>
        <v>Conv</v>
      </c>
      <c r="E17" s="190">
        <v>1</v>
      </c>
      <c r="F17" s="190">
        <v>24</v>
      </c>
      <c r="G17" s="191">
        <v>1200</v>
      </c>
      <c r="H17" s="192">
        <f t="shared" si="1"/>
        <v>24</v>
      </c>
      <c r="I17" s="121" t="s">
        <v>1051</v>
      </c>
      <c r="J17" s="193" cm="1">
        <f t="array" ref="J17">IF(I17="No-Retrofit",F17,IFERROR(VLOOKUP(I17,Vstack!$A$2:$L$1000,{8},0),""))</f>
        <v>8.6999999999999993</v>
      </c>
      <c r="K17" s="224" cm="1">
        <f t="array" ref="K17">IF(I17="No-Retrofit",F17,IFERROR(VLOOKUP(I17,Vstack!$A$2:$L$1000,{9},0)*N17,""))</f>
        <v>1800</v>
      </c>
      <c r="L17" s="193" cm="1">
        <f t="array" ref="L17:M17">IF(I17="No-Retrofit",F17,IFERROR(VLOOKUP(I17,Vstack!$A$2:$L$1000,{10,4},0),""))</f>
        <v>4000</v>
      </c>
      <c r="M17" s="193" t="str">
        <v>Ult TLED T8 8.7W 4000K 120cm G13 IP20 ND</v>
      </c>
      <c r="N17" s="121">
        <v>1</v>
      </c>
      <c r="O17" s="193">
        <f t="shared" si="2"/>
        <v>8.6999999999999993</v>
      </c>
      <c r="P17" s="195">
        <f t="shared" si="3"/>
        <v>0.63749999999999996</v>
      </c>
      <c r="Q17" s="246"/>
      <c r="R17" s="229"/>
      <c r="S17" s="231"/>
      <c r="T17" s="229"/>
      <c r="U17" s="196">
        <v>16</v>
      </c>
    </row>
    <row r="18" spans="1:21" ht="15" customHeight="1">
      <c r="A18" s="190" t="str">
        <f t="shared" si="0"/>
        <v>17- FTL-28W</v>
      </c>
      <c r="B18" s="123" t="s">
        <v>80</v>
      </c>
      <c r="C18" s="125" t="s">
        <v>995</v>
      </c>
      <c r="D18" s="190" t="str" cm="1">
        <f t="array" ref="D18:G18">IFERROR(VLOOKUP(C18,Old_Model_Registry!$B$2:$K$500,{3,10,8,9},0),"")</f>
        <v>Conv</v>
      </c>
      <c r="E18" s="190">
        <v>1</v>
      </c>
      <c r="F18" s="190">
        <v>28</v>
      </c>
      <c r="G18" s="191">
        <v>1400</v>
      </c>
      <c r="H18" s="192">
        <f t="shared" si="1"/>
        <v>28</v>
      </c>
      <c r="I18" s="121" t="s">
        <v>1051</v>
      </c>
      <c r="J18" s="193" cm="1">
        <f t="array" ref="J18">IF(I18="No-Retrofit",F18,IFERROR(VLOOKUP(I18,Vstack!$A$2:$L$1000,{8},0),""))</f>
        <v>8.6999999999999993</v>
      </c>
      <c r="K18" s="224" cm="1">
        <f t="array" ref="K18">IF(I18="No-Retrofit",F18,IFERROR(VLOOKUP(I18,Vstack!$A$2:$L$1000,{9},0)*N18,""))</f>
        <v>1800</v>
      </c>
      <c r="L18" s="193" cm="1">
        <f t="array" ref="L18:M18">IF(I18="No-Retrofit",F18,IFERROR(VLOOKUP(I18,Vstack!$A$2:$L$1000,{10,4},0),""))</f>
        <v>4000</v>
      </c>
      <c r="M18" s="193" t="str">
        <v>Ult TLED T8 8.7W 4000K 120cm G13 IP20 ND</v>
      </c>
      <c r="N18" s="121">
        <v>1</v>
      </c>
      <c r="O18" s="193">
        <f t="shared" si="2"/>
        <v>8.6999999999999993</v>
      </c>
      <c r="P18" s="195">
        <f t="shared" si="3"/>
        <v>0.68928571428571428</v>
      </c>
      <c r="Q18" s="246"/>
      <c r="R18" s="229"/>
      <c r="S18" s="245"/>
      <c r="T18" s="229"/>
      <c r="U18" s="196">
        <v>17</v>
      </c>
    </row>
    <row r="19" spans="1:21" ht="15" customHeight="1">
      <c r="A19" s="190" t="str">
        <f t="shared" si="0"/>
        <v>18- FTL-36W</v>
      </c>
      <c r="B19" s="123" t="s">
        <v>80</v>
      </c>
      <c r="C19" s="125" t="s">
        <v>996</v>
      </c>
      <c r="D19" s="190" t="str" cm="1">
        <f t="array" ref="D19:G19">IFERROR(VLOOKUP(C19,Old_Model_Registry!$B$2:$K$500,{3,10,8,9},0),"")</f>
        <v>Conv</v>
      </c>
      <c r="E19" s="190">
        <v>1</v>
      </c>
      <c r="F19" s="190">
        <v>36</v>
      </c>
      <c r="G19" s="191">
        <v>1800</v>
      </c>
      <c r="H19" s="192">
        <f t="shared" si="1"/>
        <v>36</v>
      </c>
      <c r="I19" s="121" t="s">
        <v>1051</v>
      </c>
      <c r="J19" s="193" cm="1">
        <f t="array" ref="J19">IF(I19="No-Retrofit",F19,IFERROR(VLOOKUP(I19,Vstack!$A$2:$L$1000,{8},0),""))</f>
        <v>8.6999999999999993</v>
      </c>
      <c r="K19" s="224" cm="1">
        <f t="array" ref="K19">IF(I19="No-Retrofit",F19,IFERROR(VLOOKUP(I19,Vstack!$A$2:$L$1000,{9},0)*N19,""))</f>
        <v>1800</v>
      </c>
      <c r="L19" s="193" cm="1">
        <f t="array" ref="L19:M19">IF(I19="No-Retrofit",F19,IFERROR(VLOOKUP(I19,Vstack!$A$2:$L$1000,{10,4},0),""))</f>
        <v>4000</v>
      </c>
      <c r="M19" s="193" t="str">
        <v>Ult TLED T8 8.7W 4000K 120cm G13 IP20 ND</v>
      </c>
      <c r="N19" s="121">
        <v>1</v>
      </c>
      <c r="O19" s="193">
        <f t="shared" si="2"/>
        <v>8.6999999999999993</v>
      </c>
      <c r="P19" s="195">
        <f t="shared" si="3"/>
        <v>0.7583333333333333</v>
      </c>
      <c r="Q19" s="246"/>
      <c r="R19" s="229"/>
      <c r="S19" s="231"/>
      <c r="T19" s="229"/>
      <c r="U19" s="196">
        <v>18</v>
      </c>
    </row>
    <row r="20" spans="1:21" ht="15" customHeight="1">
      <c r="A20" s="190" t="str">
        <f t="shared" si="0"/>
        <v>19- Halogen-150W</v>
      </c>
      <c r="B20" s="123" t="s">
        <v>142</v>
      </c>
      <c r="C20" s="125" t="s">
        <v>997</v>
      </c>
      <c r="D20" s="190" t="str" cm="1">
        <f t="array" ref="D20:G20">IFERROR(VLOOKUP(C20,Old_Model_Registry!$B$2:$K$500,{3,10,8,9},0),"")</f>
        <v>Conv</v>
      </c>
      <c r="E20" s="190">
        <v>1</v>
      </c>
      <c r="F20" s="190">
        <v>150</v>
      </c>
      <c r="G20" s="191">
        <v>1500</v>
      </c>
      <c r="H20" s="192">
        <f t="shared" si="1"/>
        <v>150</v>
      </c>
      <c r="I20" s="121" t="s">
        <v>1052</v>
      </c>
      <c r="J20" s="193" cm="1">
        <f t="array" ref="J20">IF(I20="No-Retrofit",F20,IFERROR(VLOOKUP(I20,Vstack!$A$2:$L$1000,{8},0),""))</f>
        <v>10</v>
      </c>
      <c r="K20" s="224" cm="1">
        <f t="array" ref="K20">IF(I20="No-Retrofit",F20,IFERROR(VLOOKUP(I20,Vstack!$A$2:$L$1000,{9},0)*N20,""))</f>
        <v>1550</v>
      </c>
      <c r="L20" s="193" cm="1">
        <f t="array" ref="L20:M20">IF(I20="No-Retrofit",F20,IFERROR(VLOOKUP(I20,Vstack!$A$2:$L$1000,{10,4},0),""))</f>
        <v>4000</v>
      </c>
      <c r="M20" s="193" t="str">
        <v>LDPFM FL 10W 840 (P-FL-10W-WV-G4-840)</v>
      </c>
      <c r="N20" s="121">
        <v>1</v>
      </c>
      <c r="O20" s="193">
        <f t="shared" si="2"/>
        <v>10</v>
      </c>
      <c r="P20" s="195">
        <f t="shared" si="3"/>
        <v>0.93333333333333335</v>
      </c>
      <c r="Q20" s="246"/>
      <c r="R20" s="229"/>
      <c r="S20" s="231"/>
      <c r="T20" s="229"/>
      <c r="U20" s="196">
        <v>19</v>
      </c>
    </row>
    <row r="21" spans="1:21" ht="15" customHeight="1">
      <c r="A21" s="190" t="str">
        <f t="shared" si="0"/>
        <v>20- Halogen-200W</v>
      </c>
      <c r="B21" s="123" t="s">
        <v>142</v>
      </c>
      <c r="C21" s="125" t="s">
        <v>998</v>
      </c>
      <c r="D21" s="190" t="str" cm="1">
        <f t="array" ref="D21:G21">IFERROR(VLOOKUP(C21,Old_Model_Registry!$B$2:$K$500,{3,10,8,9},0),"")</f>
        <v>Conv</v>
      </c>
      <c r="E21" s="190">
        <v>1</v>
      </c>
      <c r="F21" s="190">
        <v>200</v>
      </c>
      <c r="G21" s="191">
        <v>2000</v>
      </c>
      <c r="H21" s="192">
        <f t="shared" si="1"/>
        <v>200</v>
      </c>
      <c r="I21" s="121" t="s">
        <v>1053</v>
      </c>
      <c r="J21" s="193" cm="1">
        <f t="array" ref="J21">IF(I21="No-Retrofit",F21,IFERROR(VLOOKUP(I21,Vstack!$A$2:$L$1000,{8},0),""))</f>
        <v>25</v>
      </c>
      <c r="K21" s="224" cm="1">
        <f t="array" ref="K21">IF(I21="No-Retrofit",F21,IFERROR(VLOOKUP(I21,Vstack!$A$2:$L$1000,{9},0)*N21,""))</f>
        <v>4000</v>
      </c>
      <c r="L21" s="193" cm="1">
        <f t="array" ref="L21:M21">IF(I21="No-Retrofit",F21,IFERROR(VLOOKUP(I21,Vstack!$A$2:$L$1000,{10,4},0),""))</f>
        <v>4000</v>
      </c>
      <c r="M21" s="193" t="str">
        <v>LDPFM FL 25W 840 (P-FL-25W-WV-G4-840)</v>
      </c>
      <c r="N21" s="121">
        <v>1</v>
      </c>
      <c r="O21" s="193">
        <f t="shared" si="2"/>
        <v>25</v>
      </c>
      <c r="P21" s="195">
        <f t="shared" si="3"/>
        <v>0.875</v>
      </c>
      <c r="Q21" s="246"/>
      <c r="R21" s="229"/>
      <c r="S21" s="245"/>
      <c r="T21" s="229"/>
      <c r="U21" s="196">
        <v>20</v>
      </c>
    </row>
    <row r="22" spans="1:21" ht="15" customHeight="1">
      <c r="A22" s="190" t="str">
        <f t="shared" si="0"/>
        <v>21- Halogen-250W</v>
      </c>
      <c r="B22" s="123" t="s">
        <v>142</v>
      </c>
      <c r="C22" s="125" t="s">
        <v>999</v>
      </c>
      <c r="D22" s="190" t="str" cm="1">
        <f t="array" ref="D22:G22">IFERROR(VLOOKUP(C22,Old_Model_Registry!$B$2:$K$500,{3,10,8,9},0),"")</f>
        <v>Conv</v>
      </c>
      <c r="E22" s="190">
        <v>1</v>
      </c>
      <c r="F22" s="190">
        <v>250</v>
      </c>
      <c r="G22" s="191">
        <v>2500</v>
      </c>
      <c r="H22" s="192">
        <f t="shared" si="1"/>
        <v>250</v>
      </c>
      <c r="I22" s="121" t="s">
        <v>1053</v>
      </c>
      <c r="J22" s="193" cm="1">
        <f t="array" ref="J22">IF(I22="No-Retrofit",F22,IFERROR(VLOOKUP(I22,Vstack!$A$2:$L$1000,{8},0),""))</f>
        <v>25</v>
      </c>
      <c r="K22" s="224" cm="1">
        <f t="array" ref="K22">IF(I22="No-Retrofit",F22,IFERROR(VLOOKUP(I22,Vstack!$A$2:$L$1000,{9},0)*N22,""))</f>
        <v>4000</v>
      </c>
      <c r="L22" s="193" cm="1">
        <f t="array" ref="L22:M22">IF(I22="No-Retrofit",F22,IFERROR(VLOOKUP(I22,Vstack!$A$2:$L$1000,{10,4},0),""))</f>
        <v>4000</v>
      </c>
      <c r="M22" s="193" t="str">
        <v>LDPFM FL 25W 840 (P-FL-25W-WV-G4-840)</v>
      </c>
      <c r="N22" s="121">
        <v>1</v>
      </c>
      <c r="O22" s="193">
        <f t="shared" si="2"/>
        <v>25</v>
      </c>
      <c r="P22" s="195">
        <f t="shared" si="3"/>
        <v>0.9</v>
      </c>
      <c r="Q22" s="246"/>
      <c r="R22" s="229"/>
      <c r="S22" s="245"/>
      <c r="T22" s="229"/>
      <c r="U22" s="196">
        <v>21</v>
      </c>
    </row>
    <row r="23" spans="1:21" ht="15" customHeight="1">
      <c r="A23" s="190" t="str">
        <f t="shared" si="0"/>
        <v>22- Halogen-25W</v>
      </c>
      <c r="B23" s="123" t="s">
        <v>142</v>
      </c>
      <c r="C23" s="125" t="s">
        <v>1000</v>
      </c>
      <c r="D23" s="190" t="str" cm="1">
        <f t="array" ref="D23:G23">IFERROR(VLOOKUP(C23,Old_Model_Registry!$B$2:$K$500,{3,10,8,9},0),"")</f>
        <v>Conv</v>
      </c>
      <c r="E23" s="190">
        <v>1</v>
      </c>
      <c r="F23" s="190">
        <v>25</v>
      </c>
      <c r="G23" s="191">
        <v>250</v>
      </c>
      <c r="H23" s="192">
        <f t="shared" si="1"/>
        <v>25</v>
      </c>
      <c r="I23" s="121" t="s">
        <v>1064</v>
      </c>
      <c r="J23" s="193" cm="1">
        <f t="array" ref="J23">IF(I23="No-Retrofit",F23,IFERROR(VLOOKUP(I23,Vstack!$A$2:$L$1000,{8},0),""))</f>
        <v>2.85</v>
      </c>
      <c r="K23" s="224" cm="1">
        <f t="array" ref="K23">IF(I23="No-Retrofit",F23,IFERROR(VLOOKUP(I23,Vstack!$A$2:$L$1000,{9},0)*N23,""))</f>
        <v>500</v>
      </c>
      <c r="L23" s="193" cm="1">
        <f t="array" ref="L23:M23">IF(I23="No-Retrofit",F23,IFERROR(VLOOKUP(I23,Vstack!$A$2:$L$1000,{10,4},0),""))</f>
        <v>4000</v>
      </c>
      <c r="M23" s="193" t="str">
        <v>Ult Spot GU10 2.85W 4000K 38D 220-240V GU10 IP20</v>
      </c>
      <c r="N23" s="121">
        <v>1</v>
      </c>
      <c r="O23" s="193">
        <f t="shared" si="2"/>
        <v>2.85</v>
      </c>
      <c r="P23" s="195">
        <f t="shared" si="3"/>
        <v>0.88600000000000001</v>
      </c>
      <c r="Q23" s="246"/>
      <c r="R23" s="229"/>
      <c r="S23" s="231"/>
      <c r="T23" s="229"/>
      <c r="U23" s="196">
        <v>22</v>
      </c>
    </row>
    <row r="24" spans="1:21" ht="15" customHeight="1">
      <c r="A24" s="190" t="str">
        <f t="shared" si="0"/>
        <v>23- HPS-250W</v>
      </c>
      <c r="B24" s="123" t="s">
        <v>116</v>
      </c>
      <c r="C24" s="125" t="s">
        <v>1001</v>
      </c>
      <c r="D24" s="190" t="str" cm="1">
        <f t="array" ref="D24:G24">IFERROR(VLOOKUP(C24,Old_Model_Registry!$B$2:$K$500,{3,10,8,9},0),"")</f>
        <v>Conv</v>
      </c>
      <c r="E24" s="190">
        <v>1</v>
      </c>
      <c r="F24" s="190">
        <v>250</v>
      </c>
      <c r="G24" s="191">
        <v>12500</v>
      </c>
      <c r="H24" s="192">
        <f t="shared" si="1"/>
        <v>250</v>
      </c>
      <c r="I24" s="121" t="s">
        <v>1068</v>
      </c>
      <c r="J24" s="193" cm="1">
        <f t="array" ref="J24">IF(I24="No-Retrofit",F24,IFERROR(VLOOKUP(I24,Vstack!$A$2:$L$1000,{8},0),""))</f>
        <v>75</v>
      </c>
      <c r="K24" s="224" cm="1">
        <f t="array" ref="K24">IF(I24="No-Retrofit",F24,IFERROR(VLOOKUP(I24,Vstack!$A$2:$L$1000,{9},0)*N24,""))</f>
        <v>12750</v>
      </c>
      <c r="L24" s="193" cm="1">
        <f t="array" ref="L24:M24">IF(I24="No-Retrofit",F24,IFERROR(VLOOKUP(I24,Vstack!$A$2:$L$1000,{10,4},0),""))</f>
        <v>4000</v>
      </c>
      <c r="M24" s="193" t="str">
        <v>Ult HB 75W 4000K  12750 100-240V IP65 ND</v>
      </c>
      <c r="N24" s="121">
        <v>1</v>
      </c>
      <c r="O24" s="193">
        <f t="shared" si="2"/>
        <v>75</v>
      </c>
      <c r="P24" s="195">
        <f t="shared" si="3"/>
        <v>0.7</v>
      </c>
      <c r="Q24" s="246"/>
      <c r="R24" s="229"/>
      <c r="S24" s="231"/>
      <c r="T24" s="229"/>
      <c r="U24" s="196">
        <v>23</v>
      </c>
    </row>
    <row r="25" spans="1:21" ht="15" customHeight="1">
      <c r="A25" s="190" t="str">
        <f t="shared" si="0"/>
        <v>24- HPS-150W</v>
      </c>
      <c r="B25" s="123" t="s">
        <v>116</v>
      </c>
      <c r="C25" s="125" t="s">
        <v>1002</v>
      </c>
      <c r="D25" s="190" t="str" cm="1">
        <f t="array" ref="D25:G25">IFERROR(VLOOKUP(C25,Old_Model_Registry!$B$2:$K$500,{3,10,8,9},0),"")</f>
        <v>Conv</v>
      </c>
      <c r="E25" s="190">
        <v>1</v>
      </c>
      <c r="F25" s="190">
        <v>150</v>
      </c>
      <c r="G25" s="191">
        <v>7500</v>
      </c>
      <c r="H25" s="192">
        <f t="shared" si="1"/>
        <v>150</v>
      </c>
      <c r="I25" s="121" t="s">
        <v>1411</v>
      </c>
      <c r="J25" s="193" cm="1">
        <f t="array" ref="J25">IF(I25="No-Retrofit",F25,IFERROR(VLOOKUP(I25,Vstack!$A$2:$L$1000,{8},0),""))</f>
        <v>45</v>
      </c>
      <c r="K25" s="224" cm="1">
        <f t="array" ref="K25">IF(I25="No-Retrofit",F25,IFERROR(VLOOKUP(I25,Vstack!$A$2:$L$1000,{9},0)*N25,""))</f>
        <v>7000</v>
      </c>
      <c r="L25" s="193" cm="1">
        <f t="array" ref="L25:M25">IF(I25="No-Retrofit",F25,IFERROR(VLOOKUP(I25,Vstack!$A$2:$L$1000,{10,4},0),""))</f>
        <v>4000</v>
      </c>
      <c r="M25" s="193" t="str">
        <v>Xceed BRP381  45W 120-277V  4000K</v>
      </c>
      <c r="N25" s="121">
        <v>1</v>
      </c>
      <c r="O25" s="193">
        <f t="shared" si="2"/>
        <v>45</v>
      </c>
      <c r="P25" s="195">
        <f t="shared" si="3"/>
        <v>0.7</v>
      </c>
      <c r="Q25" s="246"/>
      <c r="R25" s="229"/>
      <c r="S25" s="231"/>
      <c r="T25" s="229"/>
      <c r="U25" s="196">
        <v>24</v>
      </c>
    </row>
    <row r="26" spans="1:21" ht="15" customHeight="1">
      <c r="A26" s="190" t="str">
        <f t="shared" si="0"/>
        <v>25- HPS-200W</v>
      </c>
      <c r="B26" s="123" t="s">
        <v>116</v>
      </c>
      <c r="C26" s="125" t="s">
        <v>1003</v>
      </c>
      <c r="D26" s="190" t="str" cm="1">
        <f t="array" ref="D26:G26">IFERROR(VLOOKUP(C26,Old_Model_Registry!$B$2:$K$500,{3,10,8,9},0),"")</f>
        <v>Conv</v>
      </c>
      <c r="E26" s="190">
        <v>1</v>
      </c>
      <c r="F26" s="190">
        <v>200</v>
      </c>
      <c r="G26" s="191">
        <v>10000</v>
      </c>
      <c r="H26" s="192">
        <f t="shared" si="1"/>
        <v>200</v>
      </c>
      <c r="I26" s="121" t="s">
        <v>1411</v>
      </c>
      <c r="J26" s="193" cm="1">
        <f t="array" ref="J26">IF(I26="No-Retrofit",F26,IFERROR(VLOOKUP(I26,Vstack!$A$2:$L$1000,{8},0),""))</f>
        <v>45</v>
      </c>
      <c r="K26" s="224" cm="1">
        <f t="array" ref="K26">IF(I26="No-Retrofit",F26,IFERROR(VLOOKUP(I26,Vstack!$A$2:$L$1000,{9},0)*N26,""))</f>
        <v>7000</v>
      </c>
      <c r="L26" s="193" cm="1">
        <f t="array" ref="L26:M26">IF(I26="No-Retrofit",F26,IFERROR(VLOOKUP(I26,Vstack!$A$2:$L$1000,{10,4},0),""))</f>
        <v>4000</v>
      </c>
      <c r="M26" s="193" t="str">
        <v>Xceed BRP381  45W 120-277V  4000K</v>
      </c>
      <c r="N26" s="121">
        <v>1</v>
      </c>
      <c r="O26" s="193">
        <f t="shared" si="2"/>
        <v>45</v>
      </c>
      <c r="P26" s="195">
        <f t="shared" si="3"/>
        <v>0.77500000000000002</v>
      </c>
      <c r="Q26" s="246"/>
      <c r="R26" s="229"/>
      <c r="S26" s="245"/>
      <c r="T26" s="229"/>
      <c r="U26" s="196">
        <v>25</v>
      </c>
    </row>
    <row r="27" spans="1:21" ht="15" customHeight="1">
      <c r="A27" s="190" t="str">
        <f t="shared" si="0"/>
        <v>26- HPS-250W</v>
      </c>
      <c r="B27" s="123" t="s">
        <v>116</v>
      </c>
      <c r="C27" s="125" t="s">
        <v>1004</v>
      </c>
      <c r="D27" s="190" t="str" cm="1">
        <f t="array" ref="D27:G27">IFERROR(VLOOKUP(C27,Old_Model_Registry!$B$2:$K$500,{3,10,8,9},0),"")</f>
        <v>Conv</v>
      </c>
      <c r="E27" s="190">
        <v>1</v>
      </c>
      <c r="F27" s="190">
        <v>250</v>
      </c>
      <c r="G27" s="191">
        <v>12500</v>
      </c>
      <c r="H27" s="192">
        <f t="shared" si="1"/>
        <v>250</v>
      </c>
      <c r="I27" s="121" t="s">
        <v>1411</v>
      </c>
      <c r="J27" s="193" cm="1">
        <f t="array" ref="J27">IF(I27="No-Retrofit",F27,IFERROR(VLOOKUP(I27,Vstack!$A$2:$L$1000,{8},0),""))</f>
        <v>45</v>
      </c>
      <c r="K27" s="224" cm="1">
        <f t="array" ref="K27">IF(I27="No-Retrofit",F27,IFERROR(VLOOKUP(I27,Vstack!$A$2:$L$1000,{9},0)*N27,""))</f>
        <v>7000</v>
      </c>
      <c r="L27" s="193" cm="1">
        <f t="array" ref="L27:M27">IF(I27="No-Retrofit",F27,IFERROR(VLOOKUP(I27,Vstack!$A$2:$L$1000,{10,4},0),""))</f>
        <v>4000</v>
      </c>
      <c r="M27" s="193" t="str">
        <v>Xceed BRP381  45W 120-277V  4000K</v>
      </c>
      <c r="N27" s="121">
        <v>1</v>
      </c>
      <c r="O27" s="193">
        <f t="shared" si="2"/>
        <v>45</v>
      </c>
      <c r="P27" s="195">
        <f t="shared" si="3"/>
        <v>0.82000000000000006</v>
      </c>
      <c r="Q27" s="246"/>
      <c r="R27" s="229"/>
      <c r="S27" s="231"/>
      <c r="T27" s="229"/>
      <c r="U27" s="196">
        <v>26</v>
      </c>
    </row>
    <row r="28" spans="1:21" ht="15" customHeight="1">
      <c r="A28" s="190" t="str">
        <f t="shared" si="0"/>
        <v>27- HPS-400W</v>
      </c>
      <c r="B28" s="123" t="s">
        <v>116</v>
      </c>
      <c r="C28" s="125" t="s">
        <v>1005</v>
      </c>
      <c r="D28" s="190" t="str" cm="1">
        <f t="array" ref="D28:G28">IFERROR(VLOOKUP(C28,Old_Model_Registry!$B$2:$K$500,{3,10,8,9},0),"")</f>
        <v>Conv</v>
      </c>
      <c r="E28" s="190">
        <v>1</v>
      </c>
      <c r="F28" s="190">
        <v>400</v>
      </c>
      <c r="G28" s="191">
        <v>20000</v>
      </c>
      <c r="H28" s="192">
        <f t="shared" si="1"/>
        <v>400</v>
      </c>
      <c r="I28" s="121" t="s">
        <v>1054</v>
      </c>
      <c r="J28" s="193" cm="1">
        <f t="array" ref="J28">IF(I28="No-Retrofit",F28,IFERROR(VLOOKUP(I28,Vstack!$A$2:$L$1000,{8},0),""))</f>
        <v>78</v>
      </c>
      <c r="K28" s="224" cm="1">
        <f t="array" ref="K28">IF(I28="No-Retrofit",F28,IFERROR(VLOOKUP(I28,Vstack!$A$2:$L$1000,{9},0)*N28,""))</f>
        <v>12000</v>
      </c>
      <c r="L28" s="193" cm="1">
        <f t="array" ref="L28:M28">IF(I28="No-Retrofit",F28,IFERROR(VLOOKUP(I28,Vstack!$A$2:$L$1000,{10,4},0),""))</f>
        <v>4000</v>
      </c>
      <c r="M28" s="193" t="str">
        <v xml:space="preserve">Xceed BRP 381 78W 4000K 100-277V </v>
      </c>
      <c r="N28" s="121">
        <v>1</v>
      </c>
      <c r="O28" s="193">
        <f t="shared" si="2"/>
        <v>78</v>
      </c>
      <c r="P28" s="195">
        <f t="shared" si="3"/>
        <v>0.80499999999999994</v>
      </c>
      <c r="Q28" s="246"/>
      <c r="R28" s="229"/>
      <c r="S28" s="231"/>
      <c r="T28" s="229"/>
      <c r="U28" s="196">
        <v>27</v>
      </c>
    </row>
    <row r="29" spans="1:21" ht="15" customHeight="1">
      <c r="A29" s="190" t="str">
        <f t="shared" si="0"/>
        <v>28- MH-70W</v>
      </c>
      <c r="B29" s="123" t="s">
        <v>109</v>
      </c>
      <c r="C29" s="125" t="s">
        <v>1006</v>
      </c>
      <c r="D29" s="190" t="str" cm="1">
        <f t="array" ref="D29:G29">IFERROR(VLOOKUP(C29,Old_Model_Registry!$B$2:$K$500,{3,10,8,9},0),"")</f>
        <v>Conv</v>
      </c>
      <c r="E29" s="190">
        <v>1</v>
      </c>
      <c r="F29" s="190">
        <v>70</v>
      </c>
      <c r="G29" s="191">
        <v>3500</v>
      </c>
      <c r="H29" s="192">
        <f t="shared" si="1"/>
        <v>70</v>
      </c>
      <c r="I29" s="121" t="s">
        <v>1055</v>
      </c>
      <c r="J29" s="193" cm="1">
        <f t="array" ref="J29">IF(I29="No-Retrofit",F29,IFERROR(VLOOKUP(I29,Vstack!$A$2:$L$1000,{8},0),""))</f>
        <v>27</v>
      </c>
      <c r="K29" s="224" cm="1">
        <f t="array" ref="K29">IF(I29="No-Retrofit",F29,IFERROR(VLOOKUP(I29,Vstack!$A$2:$L$1000,{9},0)*N29,""))</f>
        <v>3834</v>
      </c>
      <c r="L29" s="193" cm="1">
        <f t="array" ref="L29:M29">IF(I29="No-Retrofit",F29,IFERROR(VLOOKUP(I29,Vstack!$A$2:$L$1000,{10,4},0),""))</f>
        <v>4000</v>
      </c>
      <c r="M29" s="193" t="str">
        <v>Ultimate Downlight UE UGR 27W 4000K 100-240V ND</v>
      </c>
      <c r="N29" s="121">
        <v>1</v>
      </c>
      <c r="O29" s="193">
        <f t="shared" si="2"/>
        <v>27</v>
      </c>
      <c r="P29" s="195">
        <f t="shared" si="3"/>
        <v>0.61428571428571432</v>
      </c>
      <c r="Q29" s="246"/>
      <c r="R29" s="229"/>
      <c r="S29" s="245"/>
      <c r="T29" s="229"/>
      <c r="U29" s="196">
        <v>28</v>
      </c>
    </row>
    <row r="30" spans="1:21" ht="15" customHeight="1">
      <c r="A30" s="190" t="str">
        <f t="shared" si="0"/>
        <v>29- MH-400W</v>
      </c>
      <c r="B30" s="123" t="s">
        <v>109</v>
      </c>
      <c r="C30" s="125" t="s">
        <v>1007</v>
      </c>
      <c r="D30" s="190" t="str" cm="1">
        <f t="array" ref="D30:G30">IFERROR(VLOOKUP(C30,Old_Model_Registry!$B$2:$K$500,{3,10,8,9},0),"")</f>
        <v>Conv</v>
      </c>
      <c r="E30" s="190">
        <v>1</v>
      </c>
      <c r="F30" s="190">
        <v>400</v>
      </c>
      <c r="G30" s="191">
        <v>20000</v>
      </c>
      <c r="H30" s="192">
        <f t="shared" si="1"/>
        <v>400</v>
      </c>
      <c r="I30" s="121" t="s">
        <v>1072</v>
      </c>
      <c r="J30" s="193" cm="1">
        <f t="array" ref="J30">IF(I30="No-Retrofit",F30,IFERROR(VLOOKUP(I30,Vstack!$A$2:$L$1000,{8},0),""))</f>
        <v>143</v>
      </c>
      <c r="K30" s="224" cm="1">
        <f t="array" ref="K30">IF(I30="No-Retrofit",F30,IFERROR(VLOOKUP(I30,Vstack!$A$2:$L$1000,{9},0)*N30,""))</f>
        <v>22880</v>
      </c>
      <c r="L30" s="193" cm="1">
        <f t="array" ref="L30:M30">IF(I30="No-Retrofit",F30,IFERROR(VLOOKUP(I30,Vstack!$A$2:$L$1000,{10,4},0),""))</f>
        <v>4000</v>
      </c>
      <c r="M30" s="193" t="str">
        <v>LDPFM FL 143W 840 (P-FL-143W-WV-G4-840)</v>
      </c>
      <c r="N30" s="121">
        <v>1</v>
      </c>
      <c r="O30" s="193">
        <f t="shared" si="2"/>
        <v>143</v>
      </c>
      <c r="P30" s="195">
        <f t="shared" si="3"/>
        <v>0.64250000000000007</v>
      </c>
      <c r="Q30" s="246"/>
      <c r="R30" s="229"/>
      <c r="S30" s="231"/>
      <c r="T30" s="229"/>
      <c r="U30" s="196">
        <v>29</v>
      </c>
    </row>
    <row r="31" spans="1:21" ht="15" customHeight="1">
      <c r="A31" s="190" t="str">
        <f t="shared" si="0"/>
        <v>30- MH-70W</v>
      </c>
      <c r="B31" s="123" t="s">
        <v>109</v>
      </c>
      <c r="C31" s="125" t="s">
        <v>1008</v>
      </c>
      <c r="D31" s="190" t="str" cm="1">
        <f t="array" ref="D31:G31">IFERROR(VLOOKUP(C31,Old_Model_Registry!$B$2:$K$500,{3,10,8,9},0),"")</f>
        <v>Conv</v>
      </c>
      <c r="E31" s="190">
        <v>1</v>
      </c>
      <c r="F31" s="190">
        <v>70</v>
      </c>
      <c r="G31" s="191">
        <v>3500</v>
      </c>
      <c r="H31" s="192">
        <f t="shared" si="1"/>
        <v>70</v>
      </c>
      <c r="I31" s="121" t="s">
        <v>1053</v>
      </c>
      <c r="J31" s="193" cm="1">
        <f t="array" ref="J31">IF(I31="No-Retrofit",F31,IFERROR(VLOOKUP(I31,Vstack!$A$2:$L$1000,{8},0),""))</f>
        <v>25</v>
      </c>
      <c r="K31" s="224" cm="1">
        <f t="array" ref="K31">IF(I31="No-Retrofit",F31,IFERROR(VLOOKUP(I31,Vstack!$A$2:$L$1000,{9},0)*N31,""))</f>
        <v>4000</v>
      </c>
      <c r="L31" s="193" cm="1">
        <f t="array" ref="L31:M31">IF(I31="No-Retrofit",F31,IFERROR(VLOOKUP(I31,Vstack!$A$2:$L$1000,{10,4},0),""))</f>
        <v>4000</v>
      </c>
      <c r="M31" s="193" t="str">
        <v>LDPFM FL 25W 840 (P-FL-25W-WV-G4-840)</v>
      </c>
      <c r="N31" s="121">
        <v>1</v>
      </c>
      <c r="O31" s="193">
        <f t="shared" si="2"/>
        <v>25</v>
      </c>
      <c r="P31" s="195">
        <f t="shared" si="3"/>
        <v>0.64285714285714279</v>
      </c>
      <c r="Q31" s="246"/>
      <c r="R31" s="229"/>
      <c r="S31" s="245"/>
      <c r="T31" s="229"/>
      <c r="U31" s="196">
        <v>30</v>
      </c>
    </row>
    <row r="32" spans="1:21" ht="15" customHeight="1">
      <c r="A32" s="190" t="str">
        <f t="shared" si="0"/>
        <v>31- MH-100W</v>
      </c>
      <c r="B32" s="123" t="s">
        <v>109</v>
      </c>
      <c r="C32" s="125" t="s">
        <v>1009</v>
      </c>
      <c r="D32" s="190" t="str" cm="1">
        <f t="array" ref="D32:G32">IFERROR(VLOOKUP(C32,Old_Model_Registry!$B$2:$K$500,{3,10,8,9},0),"")</f>
        <v>Conv</v>
      </c>
      <c r="E32" s="190">
        <v>1</v>
      </c>
      <c r="F32" s="190">
        <v>100</v>
      </c>
      <c r="G32" s="191">
        <v>5000</v>
      </c>
      <c r="H32" s="192">
        <f t="shared" si="1"/>
        <v>100</v>
      </c>
      <c r="I32" s="121" t="s">
        <v>1068</v>
      </c>
      <c r="J32" s="193" cm="1">
        <f t="array" ref="J32">IF(I32="No-Retrofit",F32,IFERROR(VLOOKUP(I32,Vstack!$A$2:$L$1000,{8},0),""))</f>
        <v>75</v>
      </c>
      <c r="K32" s="224" cm="1">
        <f t="array" ref="K32">IF(I32="No-Retrofit",F32,IFERROR(VLOOKUP(I32,Vstack!$A$2:$L$1000,{9},0)*N32,""))</f>
        <v>12750</v>
      </c>
      <c r="L32" s="193" cm="1">
        <f t="array" ref="L32:M32">IF(I32="No-Retrofit",F32,IFERROR(VLOOKUP(I32,Vstack!$A$2:$L$1000,{10,4},0),""))</f>
        <v>4000</v>
      </c>
      <c r="M32" s="193" t="str">
        <v>Ult HB 75W 4000K  12750 100-240V IP65 ND</v>
      </c>
      <c r="N32" s="121">
        <v>1</v>
      </c>
      <c r="O32" s="193">
        <f t="shared" si="2"/>
        <v>75</v>
      </c>
      <c r="P32" s="195">
        <f t="shared" si="3"/>
        <v>0.25</v>
      </c>
      <c r="Q32" s="246"/>
      <c r="R32" s="229"/>
      <c r="S32" s="245"/>
      <c r="T32" s="229"/>
      <c r="U32" s="196">
        <v>31</v>
      </c>
    </row>
    <row r="33" spans="1:21" ht="15" customHeight="1">
      <c r="A33" s="190" t="str">
        <f t="shared" si="0"/>
        <v>32- MH-400W</v>
      </c>
      <c r="B33" s="123" t="s">
        <v>109</v>
      </c>
      <c r="C33" s="125" t="s">
        <v>1010</v>
      </c>
      <c r="D33" s="190" t="str" cm="1">
        <f t="array" ref="D33:G33">IFERROR(VLOOKUP(C33,Old_Model_Registry!$B$2:$K$500,{3,10,8,9},0),"")</f>
        <v>Conv</v>
      </c>
      <c r="E33" s="190">
        <v>1</v>
      </c>
      <c r="F33" s="190">
        <v>400</v>
      </c>
      <c r="G33" s="191">
        <v>20000</v>
      </c>
      <c r="H33" s="192">
        <f t="shared" si="1"/>
        <v>400</v>
      </c>
      <c r="I33" s="121" t="s">
        <v>1073</v>
      </c>
      <c r="J33" s="193" cm="1">
        <f t="array" ref="J33">IF(I33="No-Retrofit",F33,IFERROR(VLOOKUP(I33,Vstack!$A$2:$L$1000,{8},0),""))</f>
        <v>120</v>
      </c>
      <c r="K33" s="224" cm="1">
        <f t="array" ref="K33">IF(I33="No-Retrofit",F33,IFERROR(VLOOKUP(I33,Vstack!$A$2:$L$1000,{9},0)*N33,""))</f>
        <v>20400</v>
      </c>
      <c r="L33" s="193" cm="1">
        <f t="array" ref="L33:M33">IF(I33="No-Retrofit",F33,IFERROR(VLOOKUP(I33,Vstack!$A$2:$L$1000,{10,4},0),""))</f>
        <v>4000</v>
      </c>
      <c r="M33" s="193" t="str">
        <v>Ult HB 120W 4000K  20400 100-240V IP65 ND</v>
      </c>
      <c r="N33" s="121">
        <v>1</v>
      </c>
      <c r="O33" s="193">
        <f t="shared" si="2"/>
        <v>120</v>
      </c>
      <c r="P33" s="195">
        <f t="shared" si="3"/>
        <v>0.7</v>
      </c>
      <c r="Q33" s="246"/>
      <c r="R33" s="229"/>
      <c r="S33" s="231"/>
      <c r="T33" s="229"/>
      <c r="U33" s="196">
        <v>32</v>
      </c>
    </row>
    <row r="34" spans="1:21" ht="15" customHeight="1">
      <c r="A34" s="190" t="str">
        <f t="shared" si="0"/>
        <v>33- MH-250W</v>
      </c>
      <c r="B34" s="123" t="s">
        <v>109</v>
      </c>
      <c r="C34" s="125" t="s">
        <v>1011</v>
      </c>
      <c r="D34" s="190" t="str" cm="1">
        <f t="array" ref="D34:G34">IFERROR(VLOOKUP(C34,Old_Model_Registry!$B$2:$K$500,{3,10,8,9},0),"")</f>
        <v>Conv</v>
      </c>
      <c r="E34" s="190">
        <v>1</v>
      </c>
      <c r="F34" s="190">
        <v>250</v>
      </c>
      <c r="G34" s="191">
        <v>12500</v>
      </c>
      <c r="H34" s="192">
        <f t="shared" si="1"/>
        <v>250</v>
      </c>
      <c r="I34" s="121" t="s">
        <v>1074</v>
      </c>
      <c r="J34" s="193" cm="1">
        <f t="array" ref="J34">IF(I34="No-Retrofit",F34,IFERROR(VLOOKUP(I34,Vstack!$A$2:$L$1000,{8},0),""))</f>
        <v>70</v>
      </c>
      <c r="K34" s="224" cm="1">
        <f t="array" ref="K34">IF(I34="No-Retrofit",F34,IFERROR(VLOOKUP(I34,Vstack!$A$2:$L$1000,{9},0)*N34,""))</f>
        <v>12000</v>
      </c>
      <c r="L34" s="193" cm="1">
        <f t="array" ref="L34:M34">IF(I34="No-Retrofit",F34,IFERROR(VLOOKUP(I34,Vstack!$A$2:$L$1000,{10,4},0),""))</f>
        <v>4000</v>
      </c>
      <c r="M34" s="193" t="str">
        <v>HQLLED 70W/840 100-240V E40 6X1 KSAOSRAM</v>
      </c>
      <c r="N34" s="121">
        <v>1</v>
      </c>
      <c r="O34" s="193">
        <f t="shared" si="2"/>
        <v>70</v>
      </c>
      <c r="P34" s="195">
        <f t="shared" si="3"/>
        <v>0.72</v>
      </c>
      <c r="Q34" s="246"/>
      <c r="R34" s="229"/>
      <c r="S34" s="231"/>
      <c r="T34" s="229"/>
      <c r="U34" s="196">
        <v>33</v>
      </c>
    </row>
    <row r="35" spans="1:21" ht="15" customHeight="1">
      <c r="A35" s="190" t="str">
        <f t="shared" si="0"/>
        <v>34- MH-400W</v>
      </c>
      <c r="B35" s="123" t="s">
        <v>109</v>
      </c>
      <c r="C35" s="125" t="s">
        <v>1012</v>
      </c>
      <c r="D35" s="190" t="str" cm="1">
        <f t="array" ref="D35:G35">IFERROR(VLOOKUP(C35,Old_Model_Registry!$B$2:$K$500,{3,10,8,9},0),"")</f>
        <v>Conv</v>
      </c>
      <c r="E35" s="190">
        <v>1</v>
      </c>
      <c r="F35" s="190">
        <v>400</v>
      </c>
      <c r="G35" s="191">
        <v>20000</v>
      </c>
      <c r="H35" s="192">
        <f t="shared" si="1"/>
        <v>400</v>
      </c>
      <c r="I35" s="121" t="s">
        <v>1073</v>
      </c>
      <c r="J35" s="193" cm="1">
        <f t="array" ref="J35">IF(I35="No-Retrofit",F35,IFERROR(VLOOKUP(I35,Vstack!$A$2:$L$1000,{8},0),""))</f>
        <v>120</v>
      </c>
      <c r="K35" s="224" cm="1">
        <f t="array" ref="K35">IF(I35="No-Retrofit",F35,IFERROR(VLOOKUP(I35,Vstack!$A$2:$L$1000,{9},0)*N35,""))</f>
        <v>20400</v>
      </c>
      <c r="L35" s="193" cm="1">
        <f t="array" ref="L35:M35">IF(I35="No-Retrofit",F35,IFERROR(VLOOKUP(I35,Vstack!$A$2:$L$1000,{10,4},0),""))</f>
        <v>4000</v>
      </c>
      <c r="M35" s="193" t="str">
        <v>Ult HB 120W 4000K  20400 100-240V IP65 ND</v>
      </c>
      <c r="N35" s="121">
        <v>1</v>
      </c>
      <c r="O35" s="193">
        <f t="shared" si="2"/>
        <v>120</v>
      </c>
      <c r="P35" s="195">
        <f t="shared" si="3"/>
        <v>0.7</v>
      </c>
      <c r="Q35" s="246"/>
      <c r="R35" s="229"/>
      <c r="S35" s="231"/>
      <c r="T35" s="229"/>
      <c r="U35" s="196">
        <v>34</v>
      </c>
    </row>
    <row r="36" spans="1:21" ht="15" customHeight="1">
      <c r="A36" s="190" t="str">
        <f t="shared" si="0"/>
        <v>35- MV-60W</v>
      </c>
      <c r="B36" s="123" t="s">
        <v>114</v>
      </c>
      <c r="C36" s="125" t="s">
        <v>1013</v>
      </c>
      <c r="D36" s="190" t="str" cm="1">
        <f t="array" ref="D36:G36">IFERROR(VLOOKUP(C36,Old_Model_Registry!$B$2:$K$500,{3,10,8,9},0),"")</f>
        <v>Conv</v>
      </c>
      <c r="E36" s="190">
        <v>1</v>
      </c>
      <c r="F36" s="190">
        <v>60</v>
      </c>
      <c r="G36" s="191">
        <v>2100</v>
      </c>
      <c r="H36" s="192">
        <f t="shared" si="1"/>
        <v>60</v>
      </c>
      <c r="I36" s="121" t="s">
        <v>1066</v>
      </c>
      <c r="J36" s="193" cm="1">
        <f t="array" ref="J36">IF(I36="No-Retrofit",F36,IFERROR(VLOOKUP(I36,Vstack!$A$2:$L$1000,{8},0),""))</f>
        <v>16</v>
      </c>
      <c r="K36" s="224" cm="1">
        <f t="array" ref="K36">IF(I36="No-Retrofit",F36,IFERROR(VLOOKUP(I36,Vstack!$A$2:$L$1000,{9},0)*N36,""))</f>
        <v>2000</v>
      </c>
      <c r="L36" s="193" cm="1">
        <f t="array" ref="L36:M36">IF(I36="No-Retrofit",F36,IFERROR(VLOOKUP(I36,Vstack!$A$2:$L$1000,{10,4},0),""))</f>
        <v>4000</v>
      </c>
      <c r="M36" s="193" t="str">
        <v>HQLLED200016W/840230VPROE276X1G3KSAOSRAM</v>
      </c>
      <c r="N36" s="121">
        <v>1</v>
      </c>
      <c r="O36" s="193">
        <f t="shared" si="2"/>
        <v>16</v>
      </c>
      <c r="P36" s="195">
        <f t="shared" si="3"/>
        <v>0.73333333333333339</v>
      </c>
      <c r="Q36" s="246"/>
      <c r="R36" s="229"/>
      <c r="S36" s="231"/>
      <c r="T36" s="229"/>
      <c r="U36" s="196">
        <v>35</v>
      </c>
    </row>
    <row r="37" spans="1:21" ht="15" customHeight="1">
      <c r="A37" s="190" t="str">
        <f t="shared" si="0"/>
        <v>36- LED_Bulb-10W</v>
      </c>
      <c r="B37" s="123" t="s">
        <v>189</v>
      </c>
      <c r="C37" s="125" t="s">
        <v>1014</v>
      </c>
      <c r="D37" s="190" t="str" cm="1">
        <f t="array" ref="D37:G37">IFERROR(VLOOKUP(C37,Old_Model_Registry!$B$2:$K$500,{3,10,8,9},0),"")</f>
        <v>LED</v>
      </c>
      <c r="E37" s="190">
        <v>1</v>
      </c>
      <c r="F37" s="190">
        <v>10</v>
      </c>
      <c r="G37" s="191">
        <v>750</v>
      </c>
      <c r="H37" s="192">
        <f t="shared" si="1"/>
        <v>10</v>
      </c>
      <c r="I37" s="121" t="s">
        <v>1049</v>
      </c>
      <c r="J37" s="193" cm="1">
        <f t="array" ref="J37">IF(I37="No-Retrofit",F37,IFERROR(VLOOKUP(I37,Vstack!$A$2:$L$1000,{8},0),""))</f>
        <v>9</v>
      </c>
      <c r="K37" s="224" cm="1">
        <f t="array" ref="K37">IF(I37="No-Retrofit",F37,IFERROR(VLOOKUP(I37,Vstack!$A$2:$L$1000,{9},0)*N37,""))</f>
        <v>900</v>
      </c>
      <c r="L37" s="193" cm="1">
        <f t="array" ref="L37:M37">IF(I37="No-Retrofit",F37,IFERROR(VLOOKUP(I37,Vstack!$A$2:$L$1000,{10,4},0),""))</f>
        <v>4000</v>
      </c>
      <c r="M37" s="193" t="str">
        <v>Ess Bulb 9W 4000K A60 220-240V E27 IP20 ND</v>
      </c>
      <c r="N37" s="121">
        <v>1</v>
      </c>
      <c r="O37" s="193">
        <f t="shared" si="2"/>
        <v>9</v>
      </c>
      <c r="P37" s="195">
        <f t="shared" si="3"/>
        <v>9.9999999999999978E-2</v>
      </c>
      <c r="Q37" s="246"/>
      <c r="R37" s="229"/>
      <c r="S37" s="231"/>
      <c r="T37" s="229"/>
      <c r="U37" s="196">
        <v>36</v>
      </c>
    </row>
    <row r="38" spans="1:21" ht="15" customHeight="1">
      <c r="A38" s="190" t="str">
        <f t="shared" si="0"/>
        <v>37- LED_Bulb-12W</v>
      </c>
      <c r="B38" s="123" t="s">
        <v>189</v>
      </c>
      <c r="C38" s="125" t="s">
        <v>1015</v>
      </c>
      <c r="D38" s="190" t="str" cm="1">
        <f t="array" ref="D38:G38">IFERROR(VLOOKUP(C38,Old_Model_Registry!$B$2:$K$500,{3,10,8,9},0),"")</f>
        <v>LED</v>
      </c>
      <c r="E38" s="190">
        <v>1</v>
      </c>
      <c r="F38" s="190">
        <v>12</v>
      </c>
      <c r="G38" s="191">
        <v>900</v>
      </c>
      <c r="H38" s="192">
        <f t="shared" si="1"/>
        <v>12</v>
      </c>
      <c r="I38" s="121" t="s">
        <v>1049</v>
      </c>
      <c r="J38" s="193" cm="1">
        <f t="array" ref="J38">IF(I38="No-Retrofit",F38,IFERROR(VLOOKUP(I38,Vstack!$A$2:$L$1000,{8},0),""))</f>
        <v>9</v>
      </c>
      <c r="K38" s="224" cm="1">
        <f t="array" ref="K38">IF(I38="No-Retrofit",F38,IFERROR(VLOOKUP(I38,Vstack!$A$2:$L$1000,{9},0)*N38,""))</f>
        <v>900</v>
      </c>
      <c r="L38" s="193" cm="1">
        <f t="array" ref="L38:M38">IF(I38="No-Retrofit",F38,IFERROR(VLOOKUP(I38,Vstack!$A$2:$L$1000,{10,4},0),""))</f>
        <v>4000</v>
      </c>
      <c r="M38" s="193" t="str">
        <v>Ess Bulb 9W 4000K A60 220-240V E27 IP20 ND</v>
      </c>
      <c r="N38" s="121">
        <v>1</v>
      </c>
      <c r="O38" s="193">
        <f t="shared" si="2"/>
        <v>9</v>
      </c>
      <c r="P38" s="195">
        <f t="shared" si="3"/>
        <v>0.25</v>
      </c>
      <c r="Q38" s="246"/>
      <c r="R38" s="229"/>
      <c r="S38" s="231"/>
      <c r="T38" s="229"/>
      <c r="U38" s="196">
        <v>37</v>
      </c>
    </row>
    <row r="39" spans="1:21" ht="15" customHeight="1">
      <c r="A39" s="190" t="str">
        <f t="shared" si="0"/>
        <v>38- LED_Bulb-15W</v>
      </c>
      <c r="B39" s="123" t="s">
        <v>189</v>
      </c>
      <c r="C39" s="125" t="s">
        <v>1016</v>
      </c>
      <c r="D39" s="190" t="str" cm="1">
        <f t="array" ref="D39:G39">IFERROR(VLOOKUP(C39,Old_Model_Registry!$B$2:$K$500,{3,10,8,9},0),"")</f>
        <v>LED</v>
      </c>
      <c r="E39" s="190">
        <v>1</v>
      </c>
      <c r="F39" s="190">
        <v>15</v>
      </c>
      <c r="G39" s="191">
        <v>1125</v>
      </c>
      <c r="H39" s="192">
        <f t="shared" si="1"/>
        <v>15</v>
      </c>
      <c r="I39" s="121" t="s">
        <v>1044</v>
      </c>
      <c r="J39" s="193" cm="1">
        <f t="array" ref="J39">IF(I39="No-Retrofit",F39,IFERROR(VLOOKUP(I39,Vstack!$A$2:$L$1000,{8},0),""))</f>
        <v>12</v>
      </c>
      <c r="K39" s="224" cm="1">
        <f t="array" ref="K39">IF(I39="No-Retrofit",F39,IFERROR(VLOOKUP(I39,Vstack!$A$2:$L$1000,{9},0)*N39,""))</f>
        <v>1200</v>
      </c>
      <c r="L39" s="193" cm="1">
        <f t="array" ref="L39:M39">IF(I39="No-Retrofit",F39,IFERROR(VLOOKUP(I39,Vstack!$A$2:$L$1000,{10,4},0),""))</f>
        <v>4000</v>
      </c>
      <c r="M39" s="193" t="str">
        <v>Ess Bulb 12W 4000K A60 220-240V E27 IP20 ND</v>
      </c>
      <c r="N39" s="121">
        <v>1</v>
      </c>
      <c r="O39" s="193">
        <f t="shared" si="2"/>
        <v>12</v>
      </c>
      <c r="P39" s="195">
        <f t="shared" si="3"/>
        <v>0.19999999999999996</v>
      </c>
      <c r="Q39" s="246"/>
      <c r="R39" s="229"/>
      <c r="S39" s="231"/>
      <c r="T39" s="229"/>
      <c r="U39" s="196">
        <v>38</v>
      </c>
    </row>
    <row r="40" spans="1:21" ht="15" customHeight="1">
      <c r="A40" s="190" t="str">
        <f t="shared" si="0"/>
        <v>39- LED_Bulb-20W</v>
      </c>
      <c r="B40" s="123" t="s">
        <v>189</v>
      </c>
      <c r="C40" s="125" t="s">
        <v>1017</v>
      </c>
      <c r="D40" s="190" t="str" cm="1">
        <f t="array" ref="D40:G40">IFERROR(VLOOKUP(C40,Old_Model_Registry!$B$2:$K$500,{3,10,8,9},0),"")</f>
        <v>LED</v>
      </c>
      <c r="E40" s="190">
        <v>1</v>
      </c>
      <c r="F40" s="190">
        <v>20</v>
      </c>
      <c r="G40" s="191">
        <v>1500</v>
      </c>
      <c r="H40" s="192">
        <f t="shared" si="1"/>
        <v>20</v>
      </c>
      <c r="I40" s="121" t="s">
        <v>1056</v>
      </c>
      <c r="J40" s="193" cm="1">
        <f t="array" ref="J40">IF(I40="No-Retrofit",F40,IFERROR(VLOOKUP(I40,Vstack!$A$2:$L$1000,{8},0),""))</f>
        <v>12</v>
      </c>
      <c r="K40" s="224" cm="1">
        <f t="array" ref="K40">IF(I40="No-Retrofit",F40,IFERROR(VLOOKUP(I40,Vstack!$A$2:$L$1000,{9},0)*N40,""))</f>
        <v>1521</v>
      </c>
      <c r="L40" s="193" cm="1">
        <f t="array" ref="L40:M40">IF(I40="No-Retrofit",F40,IFERROR(VLOOKUP(I40,Vstack!$A$2:$L$1000,{10,4},0),""))</f>
        <v>4000</v>
      </c>
      <c r="M40" s="193" t="str">
        <v>LVCLAH 12W/840100-240FRE2710X1G2KSAOSRAM</v>
      </c>
      <c r="N40" s="121">
        <v>1</v>
      </c>
      <c r="O40" s="193">
        <f t="shared" si="2"/>
        <v>12</v>
      </c>
      <c r="P40" s="195">
        <f t="shared" si="3"/>
        <v>0.4</v>
      </c>
      <c r="Q40" s="246"/>
      <c r="R40" s="229"/>
      <c r="S40" s="231"/>
      <c r="T40" s="229"/>
      <c r="U40" s="196">
        <v>39</v>
      </c>
    </row>
    <row r="41" spans="1:21" ht="15" customHeight="1">
      <c r="A41" s="190" t="str">
        <f t="shared" si="0"/>
        <v>40- LED_Bulb-50W</v>
      </c>
      <c r="B41" s="123" t="s">
        <v>189</v>
      </c>
      <c r="C41" s="125" t="s">
        <v>1018</v>
      </c>
      <c r="D41" s="190" t="str" cm="1">
        <f t="array" ref="D41:G41">IFERROR(VLOOKUP(C41,Old_Model_Registry!$B$2:$K$500,{3,10,8,9},0),"")</f>
        <v>LED</v>
      </c>
      <c r="E41" s="190">
        <v>1</v>
      </c>
      <c r="F41" s="190">
        <v>50</v>
      </c>
      <c r="G41" s="191">
        <v>3750</v>
      </c>
      <c r="H41" s="192">
        <f t="shared" si="1"/>
        <v>50</v>
      </c>
      <c r="I41" s="121" t="s">
        <v>1067</v>
      </c>
      <c r="J41" s="193" cm="1">
        <f t="array" ref="J41">IF(I41="No-Retrofit",F41,IFERROR(VLOOKUP(I41,Vstack!$A$2:$L$1000,{8},0),""))</f>
        <v>25</v>
      </c>
      <c r="K41" s="224" cm="1">
        <f t="array" ref="K41">IF(I41="No-Retrofit",F41,IFERROR(VLOOKUP(I41,Vstack!$A$2:$L$1000,{9},0)*N41,""))</f>
        <v>4375</v>
      </c>
      <c r="L41" s="193" cm="1">
        <f t="array" ref="L41:M41">IF(I41="No-Retrofit",F41,IFERROR(VLOOKUP(I41,Vstack!$A$2:$L$1000,{10,4},0),""))</f>
        <v>4000</v>
      </c>
      <c r="M41" s="193" t="str">
        <v>Ult HLL 25W 4000K 100-240V E27 IP65 ND</v>
      </c>
      <c r="N41" s="121">
        <v>1</v>
      </c>
      <c r="O41" s="193">
        <f t="shared" si="2"/>
        <v>25</v>
      </c>
      <c r="P41" s="195">
        <f t="shared" si="3"/>
        <v>0.5</v>
      </c>
      <c r="Q41" s="246"/>
      <c r="R41" s="229"/>
      <c r="S41" s="231"/>
      <c r="T41" s="229"/>
      <c r="U41" s="196">
        <v>40</v>
      </c>
    </row>
    <row r="42" spans="1:21" ht="15" customHeight="1">
      <c r="A42" s="190" t="str">
        <f t="shared" si="0"/>
        <v>41- LED_Bulb-9W</v>
      </c>
      <c r="B42" s="123" t="s">
        <v>189</v>
      </c>
      <c r="C42" s="125" t="s">
        <v>1019</v>
      </c>
      <c r="D42" s="190" t="str" cm="1">
        <f t="array" ref="D42:G42">IFERROR(VLOOKUP(C42,Old_Model_Registry!$B$2:$K$500,{3,10,8,9},0),"")</f>
        <v>LED</v>
      </c>
      <c r="E42" s="190">
        <v>1</v>
      </c>
      <c r="F42" s="190">
        <v>9</v>
      </c>
      <c r="G42" s="191">
        <v>675</v>
      </c>
      <c r="H42" s="192">
        <f t="shared" si="1"/>
        <v>9</v>
      </c>
      <c r="I42" s="121" t="s">
        <v>1048</v>
      </c>
      <c r="J42" s="193" cm="1">
        <f t="array" ref="J42">IF(I42="No-Retrofit",F42,IFERROR(VLOOKUP(I42,Vstack!$A$2:$L$1000,{8},0),""))</f>
        <v>7</v>
      </c>
      <c r="K42" s="224" cm="1">
        <f t="array" ref="K42">IF(I42="No-Retrofit",F42,IFERROR(VLOOKUP(I42,Vstack!$A$2:$L$1000,{9},0)*N42,""))</f>
        <v>700</v>
      </c>
      <c r="L42" s="193" cm="1">
        <f t="array" ref="L42:M42">IF(I42="No-Retrofit",F42,IFERROR(VLOOKUP(I42,Vstack!$A$2:$L$1000,{10,4},0),""))</f>
        <v>4000</v>
      </c>
      <c r="M42" s="193" t="str">
        <v>Ess Bulb 7W 4000K A60 220-240V E27 IP20 ND</v>
      </c>
      <c r="N42" s="121">
        <v>1</v>
      </c>
      <c r="O42" s="193">
        <f t="shared" si="2"/>
        <v>7</v>
      </c>
      <c r="P42" s="195">
        <f t="shared" si="3"/>
        <v>0.22222222222222221</v>
      </c>
      <c r="Q42" s="246"/>
      <c r="R42" s="229"/>
      <c r="S42" s="231"/>
      <c r="T42" s="229"/>
      <c r="U42" s="196">
        <v>41</v>
      </c>
    </row>
    <row r="43" spans="1:21" ht="15" customHeight="1">
      <c r="A43" s="190" t="str">
        <f t="shared" si="0"/>
        <v>42- LED_Bulb-40W</v>
      </c>
      <c r="B43" s="123" t="s">
        <v>189</v>
      </c>
      <c r="C43" s="125" t="s">
        <v>1020</v>
      </c>
      <c r="D43" s="190" t="str" cm="1">
        <f t="array" ref="D43:G43">IFERROR(VLOOKUP(C43,Old_Model_Registry!$B$2:$K$500,{3,10,8,9},0),"")</f>
        <v>LED</v>
      </c>
      <c r="E43" s="190">
        <v>1</v>
      </c>
      <c r="F43" s="190">
        <v>40</v>
      </c>
      <c r="G43" s="191">
        <v>3000</v>
      </c>
      <c r="H43" s="192">
        <f t="shared" si="1"/>
        <v>40</v>
      </c>
      <c r="I43" s="121" t="s">
        <v>1069</v>
      </c>
      <c r="J43" s="193" cm="1">
        <f t="array" ref="J43">IF(I43="No-Retrofit",F43,IFERROR(VLOOKUP(I43,Vstack!$A$2:$L$1000,{8},0),""))</f>
        <v>23</v>
      </c>
      <c r="K43" s="224" cm="1">
        <f t="array" ref="K43">IF(I43="No-Retrofit",F43,IFERROR(VLOOKUP(I43,Vstack!$A$2:$L$1000,{9},0)*N43,""))</f>
        <v>3000</v>
      </c>
      <c r="L43" s="193" cm="1">
        <f t="array" ref="L43:M43">IF(I43="No-Retrofit",F43,IFERROR(VLOOKUP(I43,Vstack!$A$2:$L$1000,{10,4},0),""))</f>
        <v>4000</v>
      </c>
      <c r="M43" s="193" t="str">
        <v>HQLLED300023W/840230VPROE276X1G3KSAOSRAM</v>
      </c>
      <c r="N43" s="121">
        <v>1</v>
      </c>
      <c r="O43" s="193">
        <f t="shared" si="2"/>
        <v>23</v>
      </c>
      <c r="P43" s="195">
        <f t="shared" si="3"/>
        <v>0.42500000000000004</v>
      </c>
      <c r="Q43" s="246"/>
      <c r="R43" s="229"/>
      <c r="S43" s="231"/>
      <c r="T43" s="229"/>
      <c r="U43" s="196">
        <v>42</v>
      </c>
    </row>
    <row r="44" spans="1:21" ht="15" customHeight="1">
      <c r="A44" s="190" t="str">
        <f t="shared" si="0"/>
        <v>43- LED_Bulb-125W</v>
      </c>
      <c r="B44" s="123" t="s">
        <v>189</v>
      </c>
      <c r="C44" s="125" t="s">
        <v>1021</v>
      </c>
      <c r="D44" s="190" t="str" cm="1">
        <f t="array" ref="D44:G44">IFERROR(VLOOKUP(C44,Old_Model_Registry!$B$2:$K$500,{3,10,8,9},0),"")</f>
        <v>LED</v>
      </c>
      <c r="E44" s="190">
        <v>1</v>
      </c>
      <c r="F44" s="190">
        <v>125</v>
      </c>
      <c r="G44" s="191">
        <v>9375</v>
      </c>
      <c r="H44" s="192">
        <f t="shared" si="1"/>
        <v>125</v>
      </c>
      <c r="I44" s="121" t="s">
        <v>1074</v>
      </c>
      <c r="J44" s="193" cm="1">
        <f t="array" ref="J44">IF(I44="No-Retrofit",F44,IFERROR(VLOOKUP(I44,Vstack!$A$2:$L$1000,{8},0),""))</f>
        <v>70</v>
      </c>
      <c r="K44" s="224" cm="1">
        <f t="array" ref="K44">IF(I44="No-Retrofit",F44,IFERROR(VLOOKUP(I44,Vstack!$A$2:$L$1000,{9},0)*N44,""))</f>
        <v>12000</v>
      </c>
      <c r="L44" s="193" cm="1">
        <f t="array" ref="L44:M44">IF(I44="No-Retrofit",F44,IFERROR(VLOOKUP(I44,Vstack!$A$2:$L$1000,{10,4},0),""))</f>
        <v>4000</v>
      </c>
      <c r="M44" s="193" t="str">
        <v>HQLLED 70W/840 100-240V E40 6X1 KSAOSRAM</v>
      </c>
      <c r="N44" s="121">
        <v>1</v>
      </c>
      <c r="O44" s="193">
        <f t="shared" si="2"/>
        <v>70</v>
      </c>
      <c r="P44" s="195">
        <f t="shared" si="3"/>
        <v>0.43999999999999995</v>
      </c>
      <c r="Q44" s="246"/>
      <c r="R44" s="229"/>
      <c r="S44" s="231"/>
      <c r="T44" s="229"/>
      <c r="U44" s="196">
        <v>43</v>
      </c>
    </row>
    <row r="45" spans="1:21" ht="15" customHeight="1">
      <c r="A45" s="190" t="str">
        <f t="shared" si="0"/>
        <v>44- LED_Bulb-80W</v>
      </c>
      <c r="B45" s="123" t="s">
        <v>189</v>
      </c>
      <c r="C45" s="125" t="s">
        <v>1022</v>
      </c>
      <c r="D45" s="190" t="str" cm="1">
        <f t="array" ref="D45:G45">IFERROR(VLOOKUP(C45,Old_Model_Registry!$B$2:$K$500,{3,10,8,9},0),"")</f>
        <v>LED</v>
      </c>
      <c r="E45" s="190">
        <v>1</v>
      </c>
      <c r="F45" s="190">
        <v>80</v>
      </c>
      <c r="G45" s="191">
        <v>6000</v>
      </c>
      <c r="H45" s="192">
        <f t="shared" si="1"/>
        <v>80</v>
      </c>
      <c r="I45" s="121" t="s">
        <v>1182</v>
      </c>
      <c r="J45" s="193" cm="1">
        <f t="array" ref="J45">IF(I45="No-Retrofit",F45,IFERROR(VLOOKUP(I45,Vstack!$A$2:$L$1000,{8},0),""))</f>
        <v>37</v>
      </c>
      <c r="K45" s="224" cm="1">
        <f t="array" ref="K45">IF(I45="No-Retrofit",F45,IFERROR(VLOOKUP(I45,Vstack!$A$2:$L$1000,{9},0)*N45,""))</f>
        <v>6000</v>
      </c>
      <c r="L45" s="193" cm="1">
        <f t="array" ref="L45:M45">IF(I45="No-Retrofit",F45,IFERROR(VLOOKUP(I45,Vstack!$A$2:$L$1000,{10,4},0),""))</f>
        <v>4000</v>
      </c>
      <c r="M45" s="193" t="str">
        <v>HQLLED 37W/840 100-240V E27 6X1 KSAOSRAM</v>
      </c>
      <c r="N45" s="121">
        <v>1</v>
      </c>
      <c r="O45" s="193">
        <f t="shared" si="2"/>
        <v>37</v>
      </c>
      <c r="P45" s="195">
        <f t="shared" si="3"/>
        <v>0.53749999999999998</v>
      </c>
      <c r="Q45" s="246"/>
      <c r="R45" s="229"/>
      <c r="S45" s="231"/>
      <c r="T45" s="229"/>
      <c r="U45" s="196">
        <v>44</v>
      </c>
    </row>
    <row r="46" spans="1:21" ht="15" customHeight="1">
      <c r="A46" s="190" t="str">
        <f t="shared" si="0"/>
        <v>45- LED_Downlight-10W</v>
      </c>
      <c r="B46" s="123" t="s">
        <v>190</v>
      </c>
      <c r="C46" s="125" t="s">
        <v>1023</v>
      </c>
      <c r="D46" s="190" t="str" cm="1">
        <f t="array" ref="D46:G46">IFERROR(VLOOKUP(C46,Old_Model_Registry!$B$2:$K$500,{3,10,8,9},0),"")</f>
        <v>LED</v>
      </c>
      <c r="E46" s="190">
        <v>1</v>
      </c>
      <c r="F46" s="190">
        <v>10</v>
      </c>
      <c r="G46" s="191">
        <v>750</v>
      </c>
      <c r="H46" s="192">
        <f t="shared" si="1"/>
        <v>10</v>
      </c>
      <c r="I46" s="121" t="s">
        <v>1045</v>
      </c>
      <c r="J46" s="193" cm="1">
        <f t="array" ref="J46">IF(I46="No-Retrofit",F46,IFERROR(VLOOKUP(I46,Vstack!$A$2:$L$1000,{8},0),""))</f>
        <v>5.5</v>
      </c>
      <c r="K46" s="224" cm="1">
        <f t="array" ref="K46">IF(I46="No-Retrofit",F46,IFERROR(VLOOKUP(I46,Vstack!$A$2:$L$1000,{9},0)*N46,""))</f>
        <v>721</v>
      </c>
      <c r="L46" s="193" cm="1">
        <f t="array" ref="L46:M46">IF(I46="No-Retrofit",F46,IFERROR(VLOOKUP(I46,Vstack!$A$2:$L$1000,{10,4},0),""))</f>
        <v>4000</v>
      </c>
      <c r="M46" s="193" t="str">
        <v>Ultimate Downlight UE UGR 5.5W 4000K 100-240V ND</v>
      </c>
      <c r="N46" s="121">
        <v>1</v>
      </c>
      <c r="O46" s="193">
        <f t="shared" si="2"/>
        <v>5.5</v>
      </c>
      <c r="P46" s="195">
        <f t="shared" si="3"/>
        <v>0.44999999999999996</v>
      </c>
      <c r="Q46" s="246"/>
      <c r="R46" s="229"/>
      <c r="S46" s="231"/>
      <c r="T46" s="229"/>
      <c r="U46" s="196">
        <v>45</v>
      </c>
    </row>
    <row r="47" spans="1:21" ht="15" customHeight="1">
      <c r="A47" s="190" t="str">
        <f t="shared" si="0"/>
        <v>46- LED_Downlight-15W</v>
      </c>
      <c r="B47" s="123" t="s">
        <v>190</v>
      </c>
      <c r="C47" s="125" t="s">
        <v>1024</v>
      </c>
      <c r="D47" s="190" t="str" cm="1">
        <f t="array" ref="D47:G47">IFERROR(VLOOKUP(C47,Old_Model_Registry!$B$2:$K$500,{3,10,8,9},0),"")</f>
        <v>LED</v>
      </c>
      <c r="E47" s="190">
        <v>1</v>
      </c>
      <c r="F47" s="190">
        <v>15</v>
      </c>
      <c r="G47" s="191">
        <v>1125</v>
      </c>
      <c r="H47" s="192">
        <f t="shared" si="1"/>
        <v>15</v>
      </c>
      <c r="I47" s="121" t="s">
        <v>1045</v>
      </c>
      <c r="J47" s="193" cm="1">
        <f t="array" ref="J47">IF(I47="No-Retrofit",F47,IFERROR(VLOOKUP(I47,Vstack!$A$2:$L$1000,{8},0),""))</f>
        <v>5.5</v>
      </c>
      <c r="K47" s="224" cm="1">
        <f t="array" ref="K47">IF(I47="No-Retrofit",F47,IFERROR(VLOOKUP(I47,Vstack!$A$2:$L$1000,{9},0)*N47,""))</f>
        <v>721</v>
      </c>
      <c r="L47" s="193" cm="1">
        <f t="array" ref="L47:M47">IF(I47="No-Retrofit",F47,IFERROR(VLOOKUP(I47,Vstack!$A$2:$L$1000,{10,4},0),""))</f>
        <v>4000</v>
      </c>
      <c r="M47" s="193" t="str">
        <v>Ultimate Downlight UE UGR 5.5W 4000K 100-240V ND</v>
      </c>
      <c r="N47" s="121">
        <v>1</v>
      </c>
      <c r="O47" s="193">
        <f t="shared" si="2"/>
        <v>5.5</v>
      </c>
      <c r="P47" s="195">
        <f t="shared" si="3"/>
        <v>0.6333333333333333</v>
      </c>
      <c r="Q47" s="246"/>
      <c r="R47" s="229"/>
      <c r="S47" s="245"/>
      <c r="T47" s="229"/>
      <c r="U47" s="196">
        <v>46</v>
      </c>
    </row>
    <row r="48" spans="1:21" ht="15" customHeight="1">
      <c r="A48" s="190" t="str">
        <f t="shared" si="0"/>
        <v>47- LED_Downlight-18W</v>
      </c>
      <c r="B48" s="123" t="s">
        <v>190</v>
      </c>
      <c r="C48" s="125" t="s">
        <v>1025</v>
      </c>
      <c r="D48" s="190" t="str" cm="1">
        <f t="array" ref="D48:G48">IFERROR(VLOOKUP(C48,Old_Model_Registry!$B$2:$K$500,{3,10,8,9},0),"")</f>
        <v>LED</v>
      </c>
      <c r="E48" s="190">
        <v>1</v>
      </c>
      <c r="F48" s="190">
        <v>18</v>
      </c>
      <c r="G48" s="191">
        <v>1350</v>
      </c>
      <c r="H48" s="192">
        <f t="shared" si="1"/>
        <v>18</v>
      </c>
      <c r="I48" s="121" t="s">
        <v>1057</v>
      </c>
      <c r="J48" s="193" cm="1">
        <f t="array" ref="J48">IF(I48="No-Retrofit",F48,IFERROR(VLOOKUP(I48,Vstack!$A$2:$L$1000,{8},0),""))</f>
        <v>11</v>
      </c>
      <c r="K48" s="224" cm="1">
        <f t="array" ref="K48">IF(I48="No-Retrofit",F48,IFERROR(VLOOKUP(I48,Vstack!$A$2:$L$1000,{9},0)*N48,""))</f>
        <v>1562</v>
      </c>
      <c r="L48" s="193" cm="1">
        <f t="array" ref="L48:M48">IF(I48="No-Retrofit",F48,IFERROR(VLOOKUP(I48,Vstack!$A$2:$L$1000,{10,4},0),""))</f>
        <v>4000</v>
      </c>
      <c r="M48" s="193" t="str">
        <v>Ultimate Downlight UE UGR 11W 4000K 100-240V ND</v>
      </c>
      <c r="N48" s="121">
        <v>1</v>
      </c>
      <c r="O48" s="193">
        <f t="shared" si="2"/>
        <v>11</v>
      </c>
      <c r="P48" s="195">
        <f t="shared" si="3"/>
        <v>0.38888888888888884</v>
      </c>
      <c r="Q48" s="246"/>
      <c r="R48" s="229"/>
      <c r="S48" s="231"/>
      <c r="T48" s="229"/>
      <c r="U48" s="196">
        <v>47</v>
      </c>
    </row>
    <row r="49" spans="1:21" ht="15" customHeight="1">
      <c r="A49" s="190" t="str">
        <f t="shared" si="0"/>
        <v>48- LED_Downlight-20W</v>
      </c>
      <c r="B49" s="123" t="s">
        <v>190</v>
      </c>
      <c r="C49" s="125" t="s">
        <v>1026</v>
      </c>
      <c r="D49" s="190" t="str" cm="1">
        <f t="array" ref="D49:G49">IFERROR(VLOOKUP(C49,Old_Model_Registry!$B$2:$K$500,{3,10,8,9},0),"")</f>
        <v>LED</v>
      </c>
      <c r="E49" s="190">
        <v>1</v>
      </c>
      <c r="F49" s="190">
        <v>20</v>
      </c>
      <c r="G49" s="191">
        <v>1500</v>
      </c>
      <c r="H49" s="192">
        <f t="shared" si="1"/>
        <v>20</v>
      </c>
      <c r="I49" s="121" t="s">
        <v>1057</v>
      </c>
      <c r="J49" s="193" cm="1">
        <f t="array" ref="J49">IF(I49="No-Retrofit",F49,IFERROR(VLOOKUP(I49,Vstack!$A$2:$L$1000,{8},0),""))</f>
        <v>11</v>
      </c>
      <c r="K49" s="224" cm="1">
        <f t="array" ref="K49">IF(I49="No-Retrofit",F49,IFERROR(VLOOKUP(I49,Vstack!$A$2:$L$1000,{9},0)*N49,""))</f>
        <v>1562</v>
      </c>
      <c r="L49" s="193" cm="1">
        <f t="array" ref="L49:M49">IF(I49="No-Retrofit",F49,IFERROR(VLOOKUP(I49,Vstack!$A$2:$L$1000,{10,4},0),""))</f>
        <v>4000</v>
      </c>
      <c r="M49" s="193" t="str">
        <v>Ultimate Downlight UE UGR 11W 4000K 100-240V ND</v>
      </c>
      <c r="N49" s="121">
        <v>1</v>
      </c>
      <c r="O49" s="193">
        <f t="shared" si="2"/>
        <v>11</v>
      </c>
      <c r="P49" s="195">
        <f t="shared" si="3"/>
        <v>0.44999999999999996</v>
      </c>
      <c r="Q49" s="246"/>
      <c r="R49" s="229"/>
      <c r="S49" s="231"/>
      <c r="T49" s="229"/>
      <c r="U49" s="196">
        <v>48</v>
      </c>
    </row>
    <row r="50" spans="1:21" ht="15" customHeight="1">
      <c r="A50" s="190" t="str">
        <f t="shared" si="0"/>
        <v>49- LED_Downlight-18W</v>
      </c>
      <c r="B50" s="123" t="s">
        <v>190</v>
      </c>
      <c r="C50" s="125" t="s">
        <v>1027</v>
      </c>
      <c r="D50" s="190" t="str" cm="1">
        <f t="array" ref="D50:G50">IFERROR(VLOOKUP(C50,Old_Model_Registry!$B$2:$K$500,{3,10,8,9},0),"")</f>
        <v>LED</v>
      </c>
      <c r="E50" s="190">
        <v>1</v>
      </c>
      <c r="F50" s="190">
        <v>18</v>
      </c>
      <c r="G50" s="191">
        <v>1350</v>
      </c>
      <c r="H50" s="192">
        <f t="shared" si="1"/>
        <v>18</v>
      </c>
      <c r="I50" s="121" t="s">
        <v>1070</v>
      </c>
      <c r="J50" s="193" cm="1">
        <f t="array" ref="J50">IF(I50="No-Retrofit",F50,IFERROR(VLOOKUP(I50,Vstack!$A$2:$L$1000,{8},0),""))</f>
        <v>14</v>
      </c>
      <c r="K50" s="224" cm="1">
        <f t="array" ref="K50">IF(I50="No-Retrofit",F50,IFERROR(VLOOKUP(I50,Vstack!$A$2:$L$1000,{9},0)*N50,""))</f>
        <v>1988</v>
      </c>
      <c r="L50" s="193" cm="1">
        <f t="array" ref="L50:M50">IF(I50="No-Retrofit",F50,IFERROR(VLOOKUP(I50,Vstack!$A$2:$L$1000,{10,4},0),""))</f>
        <v>4000</v>
      </c>
      <c r="M50" s="193" t="str">
        <v>Ultimate Downlight UE UGR 14W 4000K 100-240V ND</v>
      </c>
      <c r="N50" s="121">
        <v>1</v>
      </c>
      <c r="O50" s="193">
        <f t="shared" si="2"/>
        <v>14</v>
      </c>
      <c r="P50" s="195">
        <f t="shared" si="3"/>
        <v>0.22222222222222221</v>
      </c>
      <c r="Q50" s="246"/>
      <c r="R50" s="229"/>
      <c r="S50" s="231"/>
      <c r="T50" s="229"/>
      <c r="U50" s="196">
        <v>49</v>
      </c>
    </row>
    <row r="51" spans="1:21" ht="15" customHeight="1">
      <c r="A51" s="190" t="str">
        <f t="shared" si="0"/>
        <v>50- LED_Downlight-30W</v>
      </c>
      <c r="B51" s="123" t="s">
        <v>190</v>
      </c>
      <c r="C51" s="125" t="s">
        <v>1028</v>
      </c>
      <c r="D51" s="190" t="str" cm="1">
        <f t="array" ref="D51:G51">IFERROR(VLOOKUP(C51,Old_Model_Registry!$B$2:$K$500,{3,10,8,9},0),"")</f>
        <v>LED</v>
      </c>
      <c r="E51" s="190">
        <v>1</v>
      </c>
      <c r="F51" s="190">
        <v>30</v>
      </c>
      <c r="G51" s="191">
        <v>2250</v>
      </c>
      <c r="H51" s="192">
        <f t="shared" si="1"/>
        <v>30</v>
      </c>
      <c r="I51" s="121" t="s">
        <v>1058</v>
      </c>
      <c r="J51" s="193" cm="1">
        <f t="array" ref="J51">IF(I51="No-Retrofit",F51,IFERROR(VLOOKUP(I51,Vstack!$A$2:$L$1000,{8},0),""))</f>
        <v>18</v>
      </c>
      <c r="K51" s="224" cm="1">
        <f t="array" ref="K51">IF(I51="No-Retrofit",F51,IFERROR(VLOOKUP(I51,Vstack!$A$2:$L$1000,{9},0)*N51,""))</f>
        <v>2520</v>
      </c>
      <c r="L51" s="193" cm="1">
        <f t="array" ref="L51:M51">IF(I51="No-Retrofit",F51,IFERROR(VLOOKUP(I51,Vstack!$A$2:$L$1000,{10,4},0),""))</f>
        <v>4000</v>
      </c>
      <c r="M51" s="193" t="str">
        <v>LDSUP DL 190 18W 940 WV (P-DL-R190-18W-WV-G3-940)</v>
      </c>
      <c r="N51" s="121">
        <v>1</v>
      </c>
      <c r="O51" s="193">
        <f t="shared" si="2"/>
        <v>18</v>
      </c>
      <c r="P51" s="195">
        <f t="shared" si="3"/>
        <v>0.4</v>
      </c>
      <c r="Q51" s="246"/>
      <c r="R51" s="229"/>
      <c r="S51" s="231"/>
      <c r="T51" s="229"/>
      <c r="U51" s="196">
        <v>50</v>
      </c>
    </row>
    <row r="52" spans="1:21" ht="15" customHeight="1">
      <c r="A52" s="190" t="str">
        <f t="shared" si="0"/>
        <v>51- LED_Flood_Light-600W</v>
      </c>
      <c r="B52" s="123" t="s">
        <v>767</v>
      </c>
      <c r="C52" s="125" t="s">
        <v>1029</v>
      </c>
      <c r="D52" s="190" t="str" cm="1">
        <f t="array" ref="D52:G52">IFERROR(VLOOKUP(C52,Old_Model_Registry!$B$2:$K$500,{3,10,8,9},0),"")</f>
        <v>LED</v>
      </c>
      <c r="E52" s="190">
        <v>1</v>
      </c>
      <c r="F52" s="190">
        <v>600</v>
      </c>
      <c r="G52" s="191">
        <v>48000</v>
      </c>
      <c r="H52" s="192">
        <f t="shared" si="1"/>
        <v>600</v>
      </c>
      <c r="I52" s="121" t="s">
        <v>1183</v>
      </c>
      <c r="J52" s="193" cm="1">
        <f t="array" ref="J52">IF(I52="No-Retrofit",F52,IFERROR(VLOOKUP(I52,Vstack!$A$2:$L$1000,{8},0),""))</f>
        <v>400</v>
      </c>
      <c r="K52" s="224" cm="1">
        <f t="array" ref="K52">IF(I52="No-Retrofit",F52,IFERROR(VLOOKUP(I52,Vstack!$A$2:$L$1000,{9},0)*N52,""))</f>
        <v>48000</v>
      </c>
      <c r="L52" s="193" cm="1">
        <f t="array" ref="L52:M52">IF(I52="No-Retrofit",F52,IFERROR(VLOOKUP(I52,Vstack!$A$2:$L$1000,{10,4},0),""))</f>
        <v>4000</v>
      </c>
      <c r="M52" s="193" t="str">
        <v>LDPFM FL HP400W 840 40X85D MVVS1KSALEDV</v>
      </c>
      <c r="N52" s="121">
        <v>1</v>
      </c>
      <c r="O52" s="193">
        <f t="shared" si="2"/>
        <v>400</v>
      </c>
      <c r="P52" s="195">
        <f t="shared" si="3"/>
        <v>0.33333333333333337</v>
      </c>
      <c r="Q52" s="246"/>
      <c r="R52" s="229"/>
      <c r="S52" s="245"/>
      <c r="T52" s="229"/>
      <c r="U52" s="196">
        <v>51</v>
      </c>
    </row>
    <row r="53" spans="1:21" ht="15" customHeight="1">
      <c r="A53" s="190" t="str">
        <f t="shared" si="0"/>
        <v>52- LED_Flood_Light-100W</v>
      </c>
      <c r="B53" s="123" t="s">
        <v>767</v>
      </c>
      <c r="C53" s="125" t="s">
        <v>1030</v>
      </c>
      <c r="D53" s="190" t="str" cm="1">
        <f t="array" ref="D53:G53">IFERROR(VLOOKUP(C53,Old_Model_Registry!$B$2:$K$500,{3,10,8,9},0),"")</f>
        <v>LED</v>
      </c>
      <c r="E53" s="190">
        <v>1</v>
      </c>
      <c r="F53" s="190">
        <v>100</v>
      </c>
      <c r="G53" s="191">
        <v>8000</v>
      </c>
      <c r="H53" s="192">
        <f t="shared" si="1"/>
        <v>100</v>
      </c>
      <c r="I53" s="121" t="s">
        <v>1059</v>
      </c>
      <c r="J53" s="193" cm="1">
        <f t="array" ref="J53">IF(I53="No-Retrofit",F53,IFERROR(VLOOKUP(I53,Vstack!$A$2:$L$1000,{8},0),""))</f>
        <v>57</v>
      </c>
      <c r="K53" s="224" cm="1">
        <f t="array" ref="K53">IF(I53="No-Retrofit",F53,IFERROR(VLOOKUP(I53,Vstack!$A$2:$L$1000,{9},0)*N53,""))</f>
        <v>9120</v>
      </c>
      <c r="L53" s="193" cm="1">
        <f t="array" ref="L53:M53">IF(I53="No-Retrofit",F53,IFERROR(VLOOKUP(I53,Vstack!$A$2:$L$1000,{10,4},0),""))</f>
        <v>4000</v>
      </c>
      <c r="M53" s="193" t="str">
        <v>Ultimate Floodlight 57W 4000K 100-240V ND</v>
      </c>
      <c r="N53" s="121">
        <v>1</v>
      </c>
      <c r="O53" s="193">
        <f t="shared" si="2"/>
        <v>57</v>
      </c>
      <c r="P53" s="195">
        <f t="shared" si="3"/>
        <v>0.43000000000000005</v>
      </c>
      <c r="Q53" s="246"/>
      <c r="R53" s="229"/>
      <c r="S53" s="245"/>
      <c r="T53" s="229"/>
      <c r="U53" s="196">
        <v>52</v>
      </c>
    </row>
    <row r="54" spans="1:21" ht="15" customHeight="1">
      <c r="A54" s="190" t="str">
        <f t="shared" si="0"/>
        <v>53- LED_Flood_Light-150W</v>
      </c>
      <c r="B54" s="123" t="s">
        <v>767</v>
      </c>
      <c r="C54" s="125" t="s">
        <v>1031</v>
      </c>
      <c r="D54" s="190" t="str" cm="1">
        <f t="array" ref="D54:G54">IFERROR(VLOOKUP(C54,Old_Model_Registry!$B$2:$K$500,{3,10,8,9},0),"")</f>
        <v>LED</v>
      </c>
      <c r="E54" s="190">
        <v>1</v>
      </c>
      <c r="F54" s="190">
        <v>150</v>
      </c>
      <c r="G54" s="191">
        <v>12000</v>
      </c>
      <c r="H54" s="192">
        <f t="shared" si="1"/>
        <v>150</v>
      </c>
      <c r="I54" s="121" t="s">
        <v>1060</v>
      </c>
      <c r="J54" s="193" cm="1">
        <f t="array" ref="J54">IF(I54="No-Retrofit",F54,IFERROR(VLOOKUP(I54,Vstack!$A$2:$L$1000,{8},0),""))</f>
        <v>75</v>
      </c>
      <c r="K54" s="224" cm="1">
        <f t="array" ref="K54">IF(I54="No-Retrofit",F54,IFERROR(VLOOKUP(I54,Vstack!$A$2:$L$1000,{9},0)*N54,""))</f>
        <v>12000</v>
      </c>
      <c r="L54" s="193" cm="1">
        <f t="array" ref="L54:M54">IF(I54="No-Retrofit",F54,IFERROR(VLOOKUP(I54,Vstack!$A$2:$L$1000,{10,4},0),""))</f>
        <v>4000</v>
      </c>
      <c r="M54" s="193" t="str">
        <v>Ultimate Floodlight 75W 4000K 100-240V ND</v>
      </c>
      <c r="N54" s="121">
        <v>1</v>
      </c>
      <c r="O54" s="193">
        <f t="shared" si="2"/>
        <v>75</v>
      </c>
      <c r="P54" s="195">
        <f t="shared" si="3"/>
        <v>0.5</v>
      </c>
      <c r="Q54" s="246"/>
      <c r="R54" s="229"/>
      <c r="S54" s="231"/>
      <c r="T54" s="229"/>
      <c r="U54" s="196">
        <v>53</v>
      </c>
    </row>
    <row r="55" spans="1:21" ht="15" customHeight="1">
      <c r="A55" s="190" t="str">
        <f t="shared" si="0"/>
        <v>54- LED_Flood_Light-200W</v>
      </c>
      <c r="B55" s="123" t="s">
        <v>767</v>
      </c>
      <c r="C55" s="125" t="s">
        <v>1032</v>
      </c>
      <c r="D55" s="190" t="str" cm="1">
        <f t="array" ref="D55:G55">IFERROR(VLOOKUP(C55,Old_Model_Registry!$B$2:$K$500,{3,10,8,9},0),"")</f>
        <v>LED</v>
      </c>
      <c r="E55" s="190">
        <v>1</v>
      </c>
      <c r="F55" s="190">
        <v>200</v>
      </c>
      <c r="G55" s="191">
        <v>16000</v>
      </c>
      <c r="H55" s="192">
        <f t="shared" si="1"/>
        <v>200</v>
      </c>
      <c r="I55" s="121" t="s">
        <v>1061</v>
      </c>
      <c r="J55" s="193" cm="1">
        <f t="array" ref="J55">IF(I55="No-Retrofit",F55,IFERROR(VLOOKUP(I55,Vstack!$A$2:$L$1000,{8},0),""))</f>
        <v>108</v>
      </c>
      <c r="K55" s="224" cm="1">
        <f t="array" ref="K55">IF(I55="No-Retrofit",F55,IFERROR(VLOOKUP(I55,Vstack!$A$2:$L$1000,{9},0)*N55,""))</f>
        <v>17280</v>
      </c>
      <c r="L55" s="193" cm="1">
        <f t="array" ref="L55:M55">IF(I55="No-Retrofit",F55,IFERROR(VLOOKUP(I55,Vstack!$A$2:$L$1000,{10,4},0),""))</f>
        <v>4000</v>
      </c>
      <c r="M55" s="193" t="str">
        <v>LDPFM FL 108W 840 (P-FL-108W-WV-G4-840)</v>
      </c>
      <c r="N55" s="121">
        <v>1</v>
      </c>
      <c r="O55" s="193">
        <f t="shared" si="2"/>
        <v>108</v>
      </c>
      <c r="P55" s="195">
        <f t="shared" si="3"/>
        <v>0.45999999999999996</v>
      </c>
      <c r="Q55" s="246"/>
      <c r="R55" s="229"/>
      <c r="S55" s="231"/>
      <c r="T55" s="229"/>
      <c r="U55" s="196">
        <v>54</v>
      </c>
    </row>
    <row r="56" spans="1:21" ht="15" customHeight="1">
      <c r="A56" s="190" t="str">
        <f t="shared" si="0"/>
        <v>55- LED_Flood_Light-400W</v>
      </c>
      <c r="B56" s="123" t="s">
        <v>767</v>
      </c>
      <c r="C56" s="125" t="s">
        <v>1033</v>
      </c>
      <c r="D56" s="190" t="str" cm="1">
        <f t="array" ref="D56:G56">IFERROR(VLOOKUP(C56,Old_Model_Registry!$B$2:$K$500,{3,10,8,9},0),"")</f>
        <v>LED</v>
      </c>
      <c r="E56" s="190">
        <v>1</v>
      </c>
      <c r="F56" s="190">
        <v>400</v>
      </c>
      <c r="G56" s="191">
        <v>32000</v>
      </c>
      <c r="H56" s="192">
        <f t="shared" si="1"/>
        <v>400</v>
      </c>
      <c r="I56" s="121" t="s">
        <v>1062</v>
      </c>
      <c r="J56" s="193" cm="1">
        <f t="array" ref="J56">IF(I56="No-Retrofit",F56,IFERROR(VLOOKUP(I56,Vstack!$A$2:$L$1000,{8},0),""))</f>
        <v>190</v>
      </c>
      <c r="K56" s="224" cm="1">
        <f t="array" ref="K56">IF(I56="No-Retrofit",F56,IFERROR(VLOOKUP(I56,Vstack!$A$2:$L$1000,{9},0)*N56,""))</f>
        <v>30400</v>
      </c>
      <c r="L56" s="193" cm="1">
        <f t="array" ref="L56:M56">IF(I56="No-Retrofit",F56,IFERROR(VLOOKUP(I56,Vstack!$A$2:$L$1000,{10,4},0),""))</f>
        <v>4000</v>
      </c>
      <c r="M56" s="193" t="str">
        <v>Ultimate Floodlight 190W 4000K 100-240V ND</v>
      </c>
      <c r="N56" s="121">
        <v>1</v>
      </c>
      <c r="O56" s="193">
        <f t="shared" si="2"/>
        <v>190</v>
      </c>
      <c r="P56" s="195">
        <f t="shared" si="3"/>
        <v>0.52500000000000002</v>
      </c>
      <c r="Q56" s="246"/>
      <c r="R56" s="229"/>
      <c r="S56" s="245"/>
      <c r="T56" s="229"/>
      <c r="U56" s="196">
        <v>55</v>
      </c>
    </row>
    <row r="57" spans="1:21" ht="15" customHeight="1">
      <c r="A57" s="190" t="str">
        <f t="shared" si="0"/>
        <v>56- LED_Flood_Light-50W</v>
      </c>
      <c r="B57" s="123" t="s">
        <v>767</v>
      </c>
      <c r="C57" s="125" t="s">
        <v>1034</v>
      </c>
      <c r="D57" s="190" t="str" cm="1">
        <f t="array" ref="D57:G57">IFERROR(VLOOKUP(C57,Old_Model_Registry!$B$2:$K$500,{3,10,8,9},0),"")</f>
        <v>LED</v>
      </c>
      <c r="E57" s="190">
        <v>1</v>
      </c>
      <c r="F57" s="190">
        <v>50</v>
      </c>
      <c r="G57" s="191">
        <v>4000</v>
      </c>
      <c r="H57" s="192">
        <f t="shared" si="1"/>
        <v>50</v>
      </c>
      <c r="I57" s="121" t="s">
        <v>1053</v>
      </c>
      <c r="J57" s="193" cm="1">
        <f t="array" ref="J57">IF(I57="No-Retrofit",F57,IFERROR(VLOOKUP(I57,Vstack!$A$2:$L$1000,{8},0),""))</f>
        <v>25</v>
      </c>
      <c r="K57" s="224" cm="1">
        <f t="array" ref="K57">IF(I57="No-Retrofit",F57,IFERROR(VLOOKUP(I57,Vstack!$A$2:$L$1000,{9},0)*N57,""))</f>
        <v>4000</v>
      </c>
      <c r="L57" s="193" cm="1">
        <f t="array" ref="L57:M57">IF(I57="No-Retrofit",F57,IFERROR(VLOOKUP(I57,Vstack!$A$2:$L$1000,{10,4},0),""))</f>
        <v>4000</v>
      </c>
      <c r="M57" s="193" t="str">
        <v>LDPFM FL 25W 840 (P-FL-25W-WV-G4-840)</v>
      </c>
      <c r="N57" s="121">
        <v>1</v>
      </c>
      <c r="O57" s="193">
        <f t="shared" si="2"/>
        <v>25</v>
      </c>
      <c r="P57" s="195">
        <f t="shared" si="3"/>
        <v>0.5</v>
      </c>
      <c r="Q57" s="246"/>
      <c r="R57" s="229"/>
      <c r="S57" s="231"/>
      <c r="T57" s="229"/>
      <c r="U57" s="196">
        <v>56</v>
      </c>
    </row>
    <row r="58" spans="1:21" ht="15" customHeight="1">
      <c r="A58" s="190" t="str">
        <f t="shared" si="0"/>
        <v>57- LED_High_Bay-150W</v>
      </c>
      <c r="B58" s="123" t="s">
        <v>191</v>
      </c>
      <c r="C58" s="125" t="s">
        <v>1035</v>
      </c>
      <c r="D58" s="190" t="str" cm="1">
        <f t="array" ref="D58:G58">IFERROR(VLOOKUP(C58,Old_Model_Registry!$B$2:$K$500,{3,10,8,9},0),"")</f>
        <v>LED</v>
      </c>
      <c r="E58" s="190">
        <v>1</v>
      </c>
      <c r="F58" s="190">
        <v>150</v>
      </c>
      <c r="G58" s="191">
        <v>12000</v>
      </c>
      <c r="H58" s="192">
        <f t="shared" si="1"/>
        <v>150</v>
      </c>
      <c r="I58" s="121" t="s">
        <v>1068</v>
      </c>
      <c r="J58" s="193" cm="1">
        <f t="array" ref="J58">IF(I58="No-Retrofit",F58,IFERROR(VLOOKUP(I58,Vstack!$A$2:$L$1000,{8},0),""))</f>
        <v>75</v>
      </c>
      <c r="K58" s="224" cm="1">
        <f t="array" ref="K58">IF(I58="No-Retrofit",F58,IFERROR(VLOOKUP(I58,Vstack!$A$2:$L$1000,{9},0)*N58,""))</f>
        <v>12750</v>
      </c>
      <c r="L58" s="193" cm="1">
        <f t="array" ref="L58:M58">IF(I58="No-Retrofit",F58,IFERROR(VLOOKUP(I58,Vstack!$A$2:$L$1000,{10,4},0),""))</f>
        <v>4000</v>
      </c>
      <c r="M58" s="193" t="str">
        <v>Ult HB 75W 4000K  12750 100-240V IP65 ND</v>
      </c>
      <c r="N58" s="121">
        <v>1</v>
      </c>
      <c r="O58" s="193">
        <f t="shared" si="2"/>
        <v>75</v>
      </c>
      <c r="P58" s="195">
        <f t="shared" si="3"/>
        <v>0.5</v>
      </c>
      <c r="Q58" s="246"/>
      <c r="R58" s="229"/>
      <c r="S58" s="231"/>
      <c r="T58" s="229"/>
      <c r="U58" s="196">
        <v>57</v>
      </c>
    </row>
    <row r="59" spans="1:21" ht="15" customHeight="1">
      <c r="A59" s="190" t="str">
        <f t="shared" si="0"/>
        <v>58- LED_High_Bay-400W</v>
      </c>
      <c r="B59" s="123" t="s">
        <v>191</v>
      </c>
      <c r="C59" s="125" t="s">
        <v>1036</v>
      </c>
      <c r="D59" s="190" t="str" cm="1">
        <f t="array" ref="D59:G59">IFERROR(VLOOKUP(C59,Old_Model_Registry!$B$2:$K$500,{3,10,8,9},0),"")</f>
        <v>LED</v>
      </c>
      <c r="E59" s="190">
        <v>1</v>
      </c>
      <c r="F59" s="190">
        <v>400</v>
      </c>
      <c r="G59" s="191">
        <v>32000</v>
      </c>
      <c r="H59" s="192">
        <f t="shared" si="1"/>
        <v>400</v>
      </c>
      <c r="I59" s="121" t="s">
        <v>1075</v>
      </c>
      <c r="J59" s="193" cm="1">
        <f t="array" ref="J59">IF(I59="No-Retrofit",F59,IFERROR(VLOOKUP(I59,Vstack!$A$2:$L$1000,{8},0),""))</f>
        <v>200</v>
      </c>
      <c r="K59" s="224" cm="1">
        <f t="array" ref="K59">IF(I59="No-Retrofit",F59,IFERROR(VLOOKUP(I59,Vstack!$A$2:$L$1000,{9},0)*N59,""))</f>
        <v>32000</v>
      </c>
      <c r="L59" s="193" cm="1">
        <f t="array" ref="L59:M59">IF(I59="No-Retrofit",F59,IFERROR(VLOOKUP(I59,Vstack!$A$2:$L$1000,{10,4},0),""))</f>
        <v>4000</v>
      </c>
      <c r="M59" s="193" t="str">
        <v>LDPFM HB 200W 840 G4 (P-HB-200W-WV-840)</v>
      </c>
      <c r="N59" s="121">
        <v>1</v>
      </c>
      <c r="O59" s="193">
        <f t="shared" si="2"/>
        <v>200</v>
      </c>
      <c r="P59" s="195">
        <f t="shared" si="3"/>
        <v>0.5</v>
      </c>
      <c r="Q59" s="246"/>
      <c r="R59" s="229"/>
      <c r="S59" s="245"/>
      <c r="T59" s="229"/>
      <c r="U59" s="196">
        <v>58</v>
      </c>
    </row>
    <row r="60" spans="1:21" ht="15" customHeight="1">
      <c r="A60" s="190" t="str">
        <f t="shared" si="0"/>
        <v>59- LED_Panel_light-40W</v>
      </c>
      <c r="B60" s="123" t="s">
        <v>766</v>
      </c>
      <c r="C60" s="125" t="s">
        <v>1037</v>
      </c>
      <c r="D60" s="190" t="str" cm="1">
        <f t="array" ref="D60:G60">IFERROR(VLOOKUP(C60,Old_Model_Registry!$B$2:$K$500,{3,10,8,9},0),"")</f>
        <v>LED</v>
      </c>
      <c r="E60" s="190">
        <v>1</v>
      </c>
      <c r="F60" s="190">
        <v>40</v>
      </c>
      <c r="G60" s="191">
        <v>3000</v>
      </c>
      <c r="H60" s="192">
        <f t="shared" si="1"/>
        <v>40</v>
      </c>
      <c r="I60" s="121" t="s">
        <v>1063</v>
      </c>
      <c r="J60" s="193" cm="1">
        <f t="array" ref="J60">IF(I60="No-Retrofit",F60,IFERROR(VLOOKUP(I60,Vstack!$A$2:$L$1000,{8},0),""))</f>
        <v>19</v>
      </c>
      <c r="K60" s="224" cm="1">
        <f t="array" ref="K60">IF(I60="No-Retrofit",F60,IFERROR(VLOOKUP(I60,Vstack!$A$2:$L$1000,{9},0)*N60,""))</f>
        <v>3800</v>
      </c>
      <c r="L60" s="193" cm="1">
        <f t="array" ref="L60:M60">IF(I60="No-Retrofit",F60,IFERROR(VLOOKUP(I60,Vstack!$A$2:$L$1000,{10,4},0),""))</f>
        <v>4000</v>
      </c>
      <c r="M60" s="193" t="str">
        <v xml:space="preserve">Ult BL UE 19W 4000K 3800 100-240V 60x60 PANEL IP20 ND UGR&lt;22 </v>
      </c>
      <c r="N60" s="121">
        <v>1</v>
      </c>
      <c r="O60" s="193">
        <f t="shared" si="2"/>
        <v>19</v>
      </c>
      <c r="P60" s="195">
        <f t="shared" si="3"/>
        <v>0.52500000000000002</v>
      </c>
      <c r="Q60" s="246"/>
      <c r="R60" s="229"/>
      <c r="S60" s="231"/>
      <c r="T60" s="229"/>
      <c r="U60" s="196">
        <v>59</v>
      </c>
    </row>
    <row r="61" spans="1:21" ht="15" customHeight="1">
      <c r="A61" s="190" t="str">
        <f t="shared" si="0"/>
        <v>60- LED_Panel_light-48W</v>
      </c>
      <c r="B61" s="123" t="s">
        <v>766</v>
      </c>
      <c r="C61" s="125" t="s">
        <v>1038</v>
      </c>
      <c r="D61" s="190" t="str" cm="1">
        <f t="array" ref="D61:G61">IFERROR(VLOOKUP(C61,Old_Model_Registry!$B$2:$K$500,{3,10,8,9},0),"")</f>
        <v>LED</v>
      </c>
      <c r="E61" s="190">
        <v>1</v>
      </c>
      <c r="F61" s="190">
        <v>48</v>
      </c>
      <c r="G61" s="191">
        <v>3600</v>
      </c>
      <c r="H61" s="192">
        <f t="shared" si="1"/>
        <v>48</v>
      </c>
      <c r="I61" s="121" t="s">
        <v>1063</v>
      </c>
      <c r="J61" s="193" cm="1">
        <f t="array" ref="J61">IF(I61="No-Retrofit",F61,IFERROR(VLOOKUP(I61,Vstack!$A$2:$L$1000,{8},0),""))</f>
        <v>19</v>
      </c>
      <c r="K61" s="224" cm="1">
        <f t="array" ref="K61">IF(I61="No-Retrofit",F61,IFERROR(VLOOKUP(I61,Vstack!$A$2:$L$1000,{9},0)*N61,""))</f>
        <v>3800</v>
      </c>
      <c r="L61" s="193" cm="1">
        <f t="array" ref="L61:M61">IF(I61="No-Retrofit",F61,IFERROR(VLOOKUP(I61,Vstack!$A$2:$L$1000,{10,4},0),""))</f>
        <v>4000</v>
      </c>
      <c r="M61" s="193" t="str">
        <v xml:space="preserve">Ult BL UE 19W 4000K 3800 100-240V 60x60 PANEL IP20 ND UGR&lt;22 </v>
      </c>
      <c r="N61" s="121">
        <v>1</v>
      </c>
      <c r="O61" s="193">
        <f t="shared" si="2"/>
        <v>19</v>
      </c>
      <c r="P61" s="195">
        <f t="shared" si="3"/>
        <v>0.60416666666666674</v>
      </c>
      <c r="Q61" s="246"/>
      <c r="R61" s="229"/>
      <c r="S61" s="231"/>
      <c r="T61" s="229"/>
      <c r="U61" s="196">
        <v>60</v>
      </c>
    </row>
    <row r="62" spans="1:21" ht="15" customHeight="1">
      <c r="A62" s="190" t="str">
        <f t="shared" si="0"/>
        <v>61- LED_Panel_light-60W</v>
      </c>
      <c r="B62" s="123" t="s">
        <v>766</v>
      </c>
      <c r="C62" s="125" t="s">
        <v>1412</v>
      </c>
      <c r="D62" s="190" t="str" cm="1">
        <f t="array" ref="D62:G62">IFERROR(VLOOKUP(C62,Old_Model_Registry!$B$2:$K$500,{3,10,8,9},0),"")</f>
        <v>LED</v>
      </c>
      <c r="E62" s="190">
        <v>1</v>
      </c>
      <c r="F62" s="190">
        <v>60</v>
      </c>
      <c r="G62" s="191">
        <v>4500</v>
      </c>
      <c r="H62" s="192">
        <f t="shared" si="1"/>
        <v>60</v>
      </c>
      <c r="I62" s="121" t="s">
        <v>1071</v>
      </c>
      <c r="J62" s="193" cm="1">
        <f t="array" ref="J62">IF(I62="No-Retrofit",F62,IFERROR(VLOOKUP(I62,Vstack!$A$2:$L$1000,{8},0),""))</f>
        <v>20</v>
      </c>
      <c r="K62" s="224" cm="1">
        <f t="array" ref="K62">IF(I62="No-Retrofit",F62,IFERROR(VLOOKUP(I62,Vstack!$A$2:$L$1000,{9},0)*N62,""))</f>
        <v>4000</v>
      </c>
      <c r="L62" s="193" cm="1">
        <f t="array" ref="L62:M62">IF(I62="No-Retrofit",F62,IFERROR(VLOOKUP(I62,Vstack!$A$2:$L$1000,{10,4},0),""))</f>
        <v>4000</v>
      </c>
      <c r="M62" s="193" t="str">
        <v xml:space="preserve">84194012246-Ult BL UE 20W 4000K 4000LM 100-277V 60x60 PANEL IP20 ND UGR&lt;22 </v>
      </c>
      <c r="N62" s="121">
        <v>1</v>
      </c>
      <c r="O62" s="193">
        <f t="shared" si="2"/>
        <v>20</v>
      </c>
      <c r="P62" s="195">
        <f t="shared" si="3"/>
        <v>0.66666666666666674</v>
      </c>
      <c r="Q62" s="246"/>
      <c r="R62" s="229"/>
      <c r="S62" s="231"/>
      <c r="T62" s="229"/>
      <c r="U62" s="196">
        <v>61</v>
      </c>
    </row>
    <row r="63" spans="1:21" ht="15" customHeight="1">
      <c r="A63" s="190" t="str">
        <f t="shared" si="0"/>
        <v>62- LED_Panel_light-72W</v>
      </c>
      <c r="B63" s="123" t="s">
        <v>766</v>
      </c>
      <c r="C63" s="125" t="s">
        <v>1039</v>
      </c>
      <c r="D63" s="190" t="str" cm="1">
        <f t="array" ref="D63:G63">IFERROR(VLOOKUP(C63,Old_Model_Registry!$B$2:$K$500,{3,10,8,9},0),"")</f>
        <v>LED</v>
      </c>
      <c r="E63" s="190">
        <v>1</v>
      </c>
      <c r="F63" s="190">
        <v>72</v>
      </c>
      <c r="G63" s="191">
        <v>5400</v>
      </c>
      <c r="H63" s="192">
        <f t="shared" si="1"/>
        <v>72</v>
      </c>
      <c r="I63" s="121" t="s">
        <v>1071</v>
      </c>
      <c r="J63" s="193" cm="1">
        <f t="array" ref="J63">IF(I63="No-Retrofit",F63,IFERROR(VLOOKUP(I63,Vstack!$A$2:$L$1000,{8},0),""))</f>
        <v>20</v>
      </c>
      <c r="K63" s="224" cm="1">
        <f t="array" ref="K63">IF(I63="No-Retrofit",F63,IFERROR(VLOOKUP(I63,Vstack!$A$2:$L$1000,{9},0)*N63,""))</f>
        <v>4000</v>
      </c>
      <c r="L63" s="193" cm="1">
        <f t="array" ref="L63:M63">IF(I63="No-Retrofit",F63,IFERROR(VLOOKUP(I63,Vstack!$A$2:$L$1000,{10,4},0),""))</f>
        <v>4000</v>
      </c>
      <c r="M63" s="193" t="str">
        <v xml:space="preserve">84194012246-Ult BL UE 20W 4000K 4000LM 100-277V 60x60 PANEL IP20 ND UGR&lt;22 </v>
      </c>
      <c r="N63" s="121">
        <v>1</v>
      </c>
      <c r="O63" s="193">
        <f t="shared" si="2"/>
        <v>20</v>
      </c>
      <c r="P63" s="195">
        <f t="shared" si="3"/>
        <v>0.72222222222222221</v>
      </c>
      <c r="Q63" s="246"/>
      <c r="R63" s="229"/>
      <c r="S63" s="231"/>
      <c r="T63" s="229"/>
      <c r="U63" s="196">
        <v>62</v>
      </c>
    </row>
    <row r="64" spans="1:21" ht="15" customHeight="1">
      <c r="A64" s="190" t="str">
        <f t="shared" si="0"/>
        <v>63- LED_Panel_light-100W</v>
      </c>
      <c r="B64" s="123" t="s">
        <v>766</v>
      </c>
      <c r="C64" s="125" t="s">
        <v>1413</v>
      </c>
      <c r="D64" s="190" t="str" cm="1">
        <f t="array" ref="D64:G64">IFERROR(VLOOKUP(C64,Old_Model_Registry!$B$2:$K$500,{3,10,8,9},0),"")</f>
        <v>LED</v>
      </c>
      <c r="E64" s="190">
        <v>1</v>
      </c>
      <c r="F64" s="190">
        <v>100</v>
      </c>
      <c r="G64" s="191">
        <v>7500</v>
      </c>
      <c r="H64" s="192">
        <f t="shared" si="1"/>
        <v>100</v>
      </c>
      <c r="I64" s="121" t="s">
        <v>1071</v>
      </c>
      <c r="J64" s="193" cm="1">
        <f t="array" ref="J64">IF(I64="No-Retrofit",F64,IFERROR(VLOOKUP(I64,Vstack!$A$2:$L$1000,{8},0),""))</f>
        <v>20</v>
      </c>
      <c r="K64" s="224" cm="1">
        <f t="array" ref="K64">IF(I64="No-Retrofit",F64,IFERROR(VLOOKUP(I64,Vstack!$A$2:$L$1000,{9},0)*N64,""))</f>
        <v>4000</v>
      </c>
      <c r="L64" s="193" cm="1">
        <f t="array" ref="L64:M64">IF(I64="No-Retrofit",F64,IFERROR(VLOOKUP(I64,Vstack!$A$2:$L$1000,{10,4},0),""))</f>
        <v>4000</v>
      </c>
      <c r="M64" s="193" t="str">
        <v xml:space="preserve">84194012246-Ult BL UE 20W 4000K 4000LM 100-277V 60x60 PANEL IP20 ND UGR&lt;22 </v>
      </c>
      <c r="N64" s="121">
        <v>1</v>
      </c>
      <c r="O64" s="193">
        <f t="shared" si="2"/>
        <v>20</v>
      </c>
      <c r="P64" s="195">
        <f t="shared" si="3"/>
        <v>0.8</v>
      </c>
      <c r="Q64" s="246"/>
      <c r="R64" s="229"/>
      <c r="S64" s="245"/>
      <c r="T64" s="229"/>
      <c r="U64" s="196">
        <v>63</v>
      </c>
    </row>
    <row r="65" spans="1:21" ht="15" customHeight="1">
      <c r="A65" s="190" t="str">
        <f t="shared" si="0"/>
        <v>64- LED_Spot_Light-7W</v>
      </c>
      <c r="B65" s="123" t="s">
        <v>188</v>
      </c>
      <c r="C65" s="125" t="s">
        <v>1040</v>
      </c>
      <c r="D65" s="190" t="str" cm="1">
        <f t="array" ref="D65:G65">IFERROR(VLOOKUP(C65,Old_Model_Registry!$B$2:$K$500,{3,10,8,9},0),"")</f>
        <v>LED</v>
      </c>
      <c r="E65" s="190">
        <v>1</v>
      </c>
      <c r="F65" s="190">
        <v>7</v>
      </c>
      <c r="G65" s="191">
        <v>490</v>
      </c>
      <c r="H65" s="192">
        <f t="shared" si="1"/>
        <v>7</v>
      </c>
      <c r="I65" s="121" t="s">
        <v>1064</v>
      </c>
      <c r="J65" s="193" cm="1">
        <f t="array" ref="J65">IF(I65="No-Retrofit",F65,IFERROR(VLOOKUP(I65,Vstack!$A$2:$L$1000,{8},0),""))</f>
        <v>2.85</v>
      </c>
      <c r="K65" s="224" cm="1">
        <f t="array" ref="K65">IF(I65="No-Retrofit",F65,IFERROR(VLOOKUP(I65,Vstack!$A$2:$L$1000,{9},0)*N65,""))</f>
        <v>500</v>
      </c>
      <c r="L65" s="193" cm="1">
        <f t="array" ref="L65:M65">IF(I65="No-Retrofit",F65,IFERROR(VLOOKUP(I65,Vstack!$A$2:$L$1000,{10,4},0),""))</f>
        <v>4000</v>
      </c>
      <c r="M65" s="193" t="str">
        <v>Ult Spot GU10 2.85W 4000K 38D 220-240V GU10 IP20</v>
      </c>
      <c r="N65" s="121">
        <v>1</v>
      </c>
      <c r="O65" s="193">
        <f t="shared" si="2"/>
        <v>2.85</v>
      </c>
      <c r="P65" s="195">
        <f t="shared" si="3"/>
        <v>0.59285714285714286</v>
      </c>
      <c r="Q65" s="246"/>
      <c r="R65" s="229"/>
      <c r="S65" s="231"/>
      <c r="T65" s="229"/>
      <c r="U65" s="196">
        <v>64</v>
      </c>
    </row>
    <row r="66" spans="1:21" ht="15" customHeight="1">
      <c r="A66" s="190" t="str">
        <f t="shared" si="0"/>
        <v>65- LED_Street_Light-150W</v>
      </c>
      <c r="B66" s="123" t="s">
        <v>192</v>
      </c>
      <c r="C66" s="125" t="s">
        <v>1041</v>
      </c>
      <c r="D66" s="190" t="str" cm="1">
        <f t="array" ref="D66:G66">IFERROR(VLOOKUP(C66,Old_Model_Registry!$B$2:$K$500,{3,10,8,9},0),"")</f>
        <v>LED</v>
      </c>
      <c r="E66" s="190">
        <v>1</v>
      </c>
      <c r="F66" s="190">
        <v>150</v>
      </c>
      <c r="G66" s="191">
        <v>12000</v>
      </c>
      <c r="H66" s="192">
        <f t="shared" si="1"/>
        <v>150</v>
      </c>
      <c r="I66" s="121" t="s">
        <v>1411</v>
      </c>
      <c r="J66" s="193" cm="1">
        <f t="array" ref="J66">IF(I66="No-Retrofit",F66,IFERROR(VLOOKUP(I66,Vstack!$A$2:$L$1000,{8},0),""))</f>
        <v>45</v>
      </c>
      <c r="K66" s="224" cm="1">
        <f t="array" ref="K66">IF(I66="No-Retrofit",F66,IFERROR(VLOOKUP(I66,Vstack!$A$2:$L$1000,{9},0)*N66,""))</f>
        <v>7000</v>
      </c>
      <c r="L66" s="193" cm="1">
        <f t="array" ref="L66:M66">IF(I66="No-Retrofit",F66,IFERROR(VLOOKUP(I66,Vstack!$A$2:$L$1000,{10,4},0),""))</f>
        <v>4000</v>
      </c>
      <c r="M66" s="193" t="str">
        <v>Xceed BRP381  45W 120-277V  4000K</v>
      </c>
      <c r="N66" s="121">
        <v>1</v>
      </c>
      <c r="O66" s="193">
        <f t="shared" si="2"/>
        <v>45</v>
      </c>
      <c r="P66" s="195">
        <f t="shared" si="3"/>
        <v>0.7</v>
      </c>
      <c r="Q66" s="246"/>
      <c r="R66" s="229"/>
      <c r="S66" s="231"/>
      <c r="T66" s="229"/>
      <c r="U66" s="196">
        <v>65</v>
      </c>
    </row>
    <row r="67" spans="1:21" ht="15" customHeight="1">
      <c r="A67" s="190" t="str">
        <f t="shared" ref="A67:A130" si="4">U67&amp;"- "&amp;B67&amp;"-"&amp;F67&amp;"W"</f>
        <v>66- LED_Tube-10W</v>
      </c>
      <c r="B67" s="123" t="s">
        <v>187</v>
      </c>
      <c r="C67" s="125" t="s">
        <v>1042</v>
      </c>
      <c r="D67" s="190" t="str" cm="1">
        <f t="array" ref="D67:G67">IFERROR(VLOOKUP(C67,Old_Model_Registry!$B$2:$K$500,{3,10,8,9},0),"")</f>
        <v>LED</v>
      </c>
      <c r="E67" s="190">
        <v>1</v>
      </c>
      <c r="F67" s="190">
        <v>10</v>
      </c>
      <c r="G67" s="191">
        <v>750</v>
      </c>
      <c r="H67" s="192">
        <f t="shared" ref="H67:H130" si="5">E67*F67</f>
        <v>10</v>
      </c>
      <c r="I67" s="121" t="s">
        <v>1050</v>
      </c>
      <c r="J67" s="193" cm="1">
        <f t="array" ref="J67">IF(I67="No-Retrofit",F67,IFERROR(VLOOKUP(I67,Vstack!$A$2:$L$1000,{8},0),""))</f>
        <v>5.2</v>
      </c>
      <c r="K67" s="224" cm="1">
        <f t="array" ref="K67">IF(I67="No-Retrofit",F67,IFERROR(VLOOKUP(I67,Vstack!$A$2:$L$1000,{9},0)*N67,""))</f>
        <v>1000</v>
      </c>
      <c r="L67" s="193" cm="1">
        <f t="array" ref="L67:M67">IF(I67="No-Retrofit",F67,IFERROR(VLOOKUP(I67,Vstack!$A$2:$L$1000,{10,4},0),""))</f>
        <v>4000</v>
      </c>
      <c r="M67" s="193" t="str">
        <v>Ult TLED T8 5.2W 4000K 60cm G13 IP20 ND</v>
      </c>
      <c r="N67" s="121">
        <v>1</v>
      </c>
      <c r="O67" s="193">
        <f t="shared" ref="O67:O130" si="6">IFERROR(N67*J67,"")</f>
        <v>5.2</v>
      </c>
      <c r="P67" s="195">
        <f t="shared" ref="P67:P130" si="7">IFERROR(-(O67/H67-1),"")</f>
        <v>0.48</v>
      </c>
      <c r="Q67" s="246"/>
      <c r="R67" s="229"/>
      <c r="S67" s="231"/>
      <c r="T67" s="229"/>
      <c r="U67" s="196">
        <v>66</v>
      </c>
    </row>
    <row r="68" spans="1:21" ht="15" customHeight="1">
      <c r="A68" s="190" t="str">
        <f t="shared" si="4"/>
        <v>67- -W</v>
      </c>
      <c r="B68" s="123"/>
      <c r="C68" s="125"/>
      <c r="D68" s="190" t="str" cm="1">
        <f t="array" ref="D68">IFERROR(VLOOKUP(C68,Old_Model_Registry!$B$2:$K$500,{3,10,8,9},0),"")</f>
        <v/>
      </c>
      <c r="E68" s="190"/>
      <c r="F68" s="190"/>
      <c r="G68" s="191"/>
      <c r="H68" s="192">
        <f t="shared" si="5"/>
        <v>0</v>
      </c>
      <c r="I68" s="121"/>
      <c r="J68" s="193" t="str" cm="1">
        <f t="array" ref="J68">IF(I68="No-Retrofit",F68,IFERROR(VLOOKUP(I68,Vstack!$A$2:$L$1000,{8},0),""))</f>
        <v/>
      </c>
      <c r="K68" s="224" t="str" cm="1">
        <f t="array" ref="K68">IF(I68="No-Retrofit",F68,IFERROR(VLOOKUP(I68,Vstack!$A$2:$L$1000,{9},0)*N68,""))</f>
        <v/>
      </c>
      <c r="L68" s="193" t="str" cm="1">
        <f t="array" ref="L68">IF(I68="No-Retrofit",F68,IFERROR(VLOOKUP(I68,Vstack!$A$2:$L$1000,{10,4},0),""))</f>
        <v/>
      </c>
      <c r="M68" s="193"/>
      <c r="N68" s="121"/>
      <c r="O68" s="193" t="str">
        <f t="shared" si="6"/>
        <v/>
      </c>
      <c r="P68" s="195" t="str">
        <f t="shared" si="7"/>
        <v/>
      </c>
      <c r="Q68" s="246"/>
      <c r="R68" s="229"/>
      <c r="S68" s="231"/>
      <c r="T68" s="229"/>
      <c r="U68" s="196">
        <v>67</v>
      </c>
    </row>
    <row r="69" spans="1:21" ht="15" customHeight="1">
      <c r="A69" s="190" t="str">
        <f t="shared" si="4"/>
        <v>68- -W</v>
      </c>
      <c r="B69" s="123"/>
      <c r="C69" s="125"/>
      <c r="D69" s="190" t="str" cm="1">
        <f t="array" ref="D69">IFERROR(VLOOKUP(C69,Old_Model_Registry!$B$2:$K$500,{3,10,8,9},0),"")</f>
        <v/>
      </c>
      <c r="E69" s="190"/>
      <c r="F69" s="190"/>
      <c r="G69" s="191"/>
      <c r="H69" s="192">
        <f t="shared" si="5"/>
        <v>0</v>
      </c>
      <c r="I69" s="121"/>
      <c r="J69" s="193" t="str" cm="1">
        <f t="array" ref="J69">IF(I69="No-Retrofit",F69,IFERROR(VLOOKUP(I69,Vstack!$A$2:$L$1000,{8},0),""))</f>
        <v/>
      </c>
      <c r="K69" s="224" t="str" cm="1">
        <f t="array" ref="K69">IF(I69="No-Retrofit",F69,IFERROR(VLOOKUP(I69,Vstack!$A$2:$L$1000,{9},0)*N69,""))</f>
        <v/>
      </c>
      <c r="L69" s="193" t="str" cm="1">
        <f t="array" ref="L69">IF(I69="No-Retrofit",F69,IFERROR(VLOOKUP(I69,Vstack!$A$2:$L$1000,{10,4},0),""))</f>
        <v/>
      </c>
      <c r="M69" s="193"/>
      <c r="N69" s="121"/>
      <c r="O69" s="193" t="str">
        <f t="shared" si="6"/>
        <v/>
      </c>
      <c r="P69" s="195" t="str">
        <f t="shared" si="7"/>
        <v/>
      </c>
      <c r="Q69" s="246"/>
      <c r="R69" s="229"/>
      <c r="S69" s="231"/>
      <c r="T69" s="229"/>
      <c r="U69" s="196">
        <v>68</v>
      </c>
    </row>
    <row r="70" spans="1:21" ht="15" customHeight="1">
      <c r="A70" s="190" t="str">
        <f t="shared" si="4"/>
        <v>69- -W</v>
      </c>
      <c r="B70" s="123"/>
      <c r="C70" s="125"/>
      <c r="D70" s="190" t="str" cm="1">
        <f t="array" ref="D70">IFERROR(VLOOKUP(C70,Old_Model_Registry!$B$2:$K$500,{3,10,8,9},0),"")</f>
        <v/>
      </c>
      <c r="E70" s="190"/>
      <c r="F70" s="190"/>
      <c r="G70" s="191"/>
      <c r="H70" s="192">
        <f t="shared" si="5"/>
        <v>0</v>
      </c>
      <c r="I70" s="121"/>
      <c r="J70" s="193" t="str" cm="1">
        <f t="array" ref="J70">IF(I70="No-Retrofit",F70,IFERROR(VLOOKUP(I70,Vstack!$A$2:$L$1000,{8},0),""))</f>
        <v/>
      </c>
      <c r="K70" s="224" t="str" cm="1">
        <f t="array" ref="K70">IF(I70="No-Retrofit",F70,IFERROR(VLOOKUP(I70,Vstack!$A$2:$L$1000,{9},0)*N70,""))</f>
        <v/>
      </c>
      <c r="L70" s="193" t="str" cm="1">
        <f t="array" ref="L70">IF(I70="No-Retrofit",F70,IFERROR(VLOOKUP(I70,Vstack!$A$2:$L$1000,{10,4},0),""))</f>
        <v/>
      </c>
      <c r="M70" s="193"/>
      <c r="N70" s="121"/>
      <c r="O70" s="193" t="str">
        <f t="shared" si="6"/>
        <v/>
      </c>
      <c r="P70" s="195" t="str">
        <f t="shared" si="7"/>
        <v/>
      </c>
      <c r="Q70" s="246"/>
      <c r="R70" s="229"/>
      <c r="S70" s="245"/>
      <c r="T70" s="229"/>
      <c r="U70" s="196">
        <v>69</v>
      </c>
    </row>
    <row r="71" spans="1:21" ht="15" customHeight="1">
      <c r="A71" s="190" t="str">
        <f t="shared" si="4"/>
        <v>70- -W</v>
      </c>
      <c r="B71" s="123"/>
      <c r="C71" s="125"/>
      <c r="D71" s="190" t="str" cm="1">
        <f t="array" ref="D71">IFERROR(VLOOKUP(C71,Old_Model_Registry!$B$2:$K$500,{3,10,8,9},0),"")</f>
        <v/>
      </c>
      <c r="E71" s="190"/>
      <c r="F71" s="190"/>
      <c r="G71" s="191"/>
      <c r="H71" s="192">
        <f t="shared" si="5"/>
        <v>0</v>
      </c>
      <c r="I71" s="121"/>
      <c r="J71" s="193" t="str" cm="1">
        <f t="array" ref="J71">IF(I71="No-Retrofit",F71,IFERROR(VLOOKUP(I71,Vstack!$A$2:$L$1000,{8},0),""))</f>
        <v/>
      </c>
      <c r="K71" s="224" t="str" cm="1">
        <f t="array" ref="K71">IF(I71="No-Retrofit",F71,IFERROR(VLOOKUP(I71,Vstack!$A$2:$L$1000,{9},0)*N71,""))</f>
        <v/>
      </c>
      <c r="L71" s="193" t="str" cm="1">
        <f t="array" ref="L71">IF(I71="No-Retrofit",F71,IFERROR(VLOOKUP(I71,Vstack!$A$2:$L$1000,{10,4},0),""))</f>
        <v/>
      </c>
      <c r="M71" s="193"/>
      <c r="N71" s="121"/>
      <c r="O71" s="193" t="str">
        <f t="shared" si="6"/>
        <v/>
      </c>
      <c r="P71" s="195" t="str">
        <f t="shared" si="7"/>
        <v/>
      </c>
      <c r="Q71" s="246"/>
      <c r="R71" s="229"/>
      <c r="S71" s="231"/>
      <c r="T71" s="229"/>
      <c r="U71" s="196">
        <v>70</v>
      </c>
    </row>
    <row r="72" spans="1:21" ht="15" customHeight="1">
      <c r="A72" s="190" t="str">
        <f t="shared" si="4"/>
        <v>71- -W</v>
      </c>
      <c r="B72" s="123"/>
      <c r="C72" s="125"/>
      <c r="D72" s="190" t="str" cm="1">
        <f t="array" ref="D72">IFERROR(VLOOKUP(C72,Old_Model_Registry!$B$2:$K$500,{3,10,8,9},0),"")</f>
        <v/>
      </c>
      <c r="E72" s="190"/>
      <c r="F72" s="190"/>
      <c r="G72" s="191"/>
      <c r="H72" s="192">
        <f t="shared" si="5"/>
        <v>0</v>
      </c>
      <c r="I72" s="121"/>
      <c r="J72" s="193" t="str" cm="1">
        <f t="array" ref="J72">IF(I72="No-Retrofit",F72,IFERROR(VLOOKUP(I72,Vstack!$A$2:$L$1000,{8},0),""))</f>
        <v/>
      </c>
      <c r="K72" s="224" t="str" cm="1">
        <f t="array" ref="K72">IF(I72="No-Retrofit",F72,IFERROR(VLOOKUP(I72,Vstack!$A$2:$L$1000,{9},0)*N72,""))</f>
        <v/>
      </c>
      <c r="L72" s="193" t="str" cm="1">
        <f t="array" ref="L72">IF(I72="No-Retrofit",F72,IFERROR(VLOOKUP(I72,Vstack!$A$2:$L$1000,{10,4},0),""))</f>
        <v/>
      </c>
      <c r="M72" s="193"/>
      <c r="N72" s="121"/>
      <c r="O72" s="193" t="str">
        <f t="shared" si="6"/>
        <v/>
      </c>
      <c r="P72" s="195" t="str">
        <f t="shared" si="7"/>
        <v/>
      </c>
      <c r="Q72" s="246"/>
      <c r="R72" s="229"/>
      <c r="S72" s="245"/>
      <c r="T72" s="229"/>
      <c r="U72" s="196">
        <v>71</v>
      </c>
    </row>
    <row r="73" spans="1:21" ht="15" customHeight="1">
      <c r="A73" s="190" t="str">
        <f t="shared" si="4"/>
        <v>72- -W</v>
      </c>
      <c r="B73" s="123"/>
      <c r="C73" s="125"/>
      <c r="D73" s="190" t="str" cm="1">
        <f t="array" ref="D73">IFERROR(VLOOKUP(C73,Old_Model_Registry!$B$2:$K$500,{3,10,8,9},0),"")</f>
        <v/>
      </c>
      <c r="E73" s="190"/>
      <c r="F73" s="190"/>
      <c r="G73" s="191"/>
      <c r="H73" s="192">
        <f t="shared" si="5"/>
        <v>0</v>
      </c>
      <c r="I73" s="121"/>
      <c r="J73" s="193" t="str" cm="1">
        <f t="array" ref="J73">IF(I73="No-Retrofit",F73,IFERROR(VLOOKUP(I73,Vstack!$A$2:$L$1000,{8},0),""))</f>
        <v/>
      </c>
      <c r="K73" s="224" t="str" cm="1">
        <f t="array" ref="K73">IF(I73="No-Retrofit",F73,IFERROR(VLOOKUP(I73,Vstack!$A$2:$L$1000,{9},0)*N73,""))</f>
        <v/>
      </c>
      <c r="L73" s="193" t="str" cm="1">
        <f t="array" ref="L73">IF(I73="No-Retrofit",F73,IFERROR(VLOOKUP(I73,Vstack!$A$2:$L$1000,{10,4},0),""))</f>
        <v/>
      </c>
      <c r="M73" s="193"/>
      <c r="N73" s="121"/>
      <c r="O73" s="193" t="str">
        <f t="shared" si="6"/>
        <v/>
      </c>
      <c r="P73" s="195" t="str">
        <f t="shared" si="7"/>
        <v/>
      </c>
      <c r="Q73" s="246"/>
      <c r="R73" s="229"/>
      <c r="S73" s="245"/>
      <c r="T73" s="229"/>
      <c r="U73" s="196">
        <v>72</v>
      </c>
    </row>
    <row r="74" spans="1:21" ht="15" customHeight="1">
      <c r="A74" s="190" t="str">
        <f t="shared" si="4"/>
        <v>73- -W</v>
      </c>
      <c r="B74" s="123"/>
      <c r="C74" s="125"/>
      <c r="D74" s="190" t="str" cm="1">
        <f t="array" ref="D74">IFERROR(VLOOKUP(C74,Old_Model_Registry!$B$2:$K$500,{3,10,8,9},0),"")</f>
        <v/>
      </c>
      <c r="E74" s="190"/>
      <c r="F74" s="190"/>
      <c r="G74" s="191"/>
      <c r="H74" s="192">
        <f t="shared" si="5"/>
        <v>0</v>
      </c>
      <c r="I74" s="121"/>
      <c r="J74" s="193" t="str" cm="1">
        <f t="array" ref="J74">IF(I74="No-Retrofit",F74,IFERROR(VLOOKUP(I74,Vstack!$A$2:$L$1000,{8},0),""))</f>
        <v/>
      </c>
      <c r="K74" s="224" t="str" cm="1">
        <f t="array" ref="K74">IF(I74="No-Retrofit",F74,IFERROR(VLOOKUP(I74,Vstack!$A$2:$L$1000,{9},0)*N74,""))</f>
        <v/>
      </c>
      <c r="L74" s="193" t="str" cm="1">
        <f t="array" ref="L74">IF(I74="No-Retrofit",F74,IFERROR(VLOOKUP(I74,Vstack!$A$2:$L$1000,{10,4},0),""))</f>
        <v/>
      </c>
      <c r="M74" s="193"/>
      <c r="N74" s="121"/>
      <c r="O74" s="193" t="str">
        <f t="shared" si="6"/>
        <v/>
      </c>
      <c r="P74" s="195" t="str">
        <f t="shared" si="7"/>
        <v/>
      </c>
      <c r="Q74" s="246"/>
      <c r="R74" s="229"/>
      <c r="S74" s="231"/>
      <c r="T74" s="229"/>
      <c r="U74" s="196">
        <v>73</v>
      </c>
    </row>
    <row r="75" spans="1:21" ht="15" customHeight="1">
      <c r="A75" s="190" t="str">
        <f t="shared" si="4"/>
        <v>74- -W</v>
      </c>
      <c r="B75" s="123"/>
      <c r="C75" s="125"/>
      <c r="D75" s="190" t="str" cm="1">
        <f t="array" ref="D75">IFERROR(VLOOKUP(C75,Old_Model_Registry!$B$2:$K$500,{3,10,8,9},0),"")</f>
        <v/>
      </c>
      <c r="E75" s="190"/>
      <c r="F75" s="190"/>
      <c r="G75" s="191"/>
      <c r="H75" s="192">
        <f t="shared" si="5"/>
        <v>0</v>
      </c>
      <c r="I75" s="121"/>
      <c r="J75" s="193" t="str" cm="1">
        <f t="array" ref="J75">IF(I75="No-Retrofit",F75,IFERROR(VLOOKUP(I75,Vstack!$A$2:$L$1000,{8},0),""))</f>
        <v/>
      </c>
      <c r="K75" s="224" t="str" cm="1">
        <f t="array" ref="K75">IF(I75="No-Retrofit",F75,IFERROR(VLOOKUP(I75,Vstack!$A$2:$L$1000,{9},0)*N75,""))</f>
        <v/>
      </c>
      <c r="L75" s="193" t="str" cm="1">
        <f t="array" ref="L75">IF(I75="No-Retrofit",F75,IFERROR(VLOOKUP(I75,Vstack!$A$2:$L$1000,{10,4},0),""))</f>
        <v/>
      </c>
      <c r="M75" s="193"/>
      <c r="N75" s="121"/>
      <c r="O75" s="193" t="str">
        <f t="shared" si="6"/>
        <v/>
      </c>
      <c r="P75" s="195" t="str">
        <f t="shared" si="7"/>
        <v/>
      </c>
      <c r="Q75" s="246"/>
      <c r="R75" s="229"/>
      <c r="S75" s="245"/>
      <c r="T75" s="229"/>
      <c r="U75" s="196">
        <v>74</v>
      </c>
    </row>
    <row r="76" spans="1:21" ht="15" customHeight="1">
      <c r="A76" s="190" t="str">
        <f t="shared" si="4"/>
        <v>75- -W</v>
      </c>
      <c r="B76" s="123"/>
      <c r="C76" s="125"/>
      <c r="D76" s="190" t="str" cm="1">
        <f t="array" ref="D76">IFERROR(VLOOKUP(C76,Old_Model_Registry!$B$2:$K$500,{3,10,8,9},0),"")</f>
        <v/>
      </c>
      <c r="E76" s="190"/>
      <c r="F76" s="190"/>
      <c r="G76" s="191"/>
      <c r="H76" s="192">
        <f t="shared" si="5"/>
        <v>0</v>
      </c>
      <c r="I76" s="121"/>
      <c r="J76" s="193" t="str" cm="1">
        <f t="array" ref="J76">IF(I76="No-Retrofit",F76,IFERROR(VLOOKUP(I76,Vstack!$A$2:$L$1000,{8},0),""))</f>
        <v/>
      </c>
      <c r="K76" s="224" t="str" cm="1">
        <f t="array" ref="K76">IF(I76="No-Retrofit",F76,IFERROR(VLOOKUP(I76,Vstack!$A$2:$L$1000,{9},0)*N76,""))</f>
        <v/>
      </c>
      <c r="L76" s="193" t="str" cm="1">
        <f t="array" ref="L76">IF(I76="No-Retrofit",F76,IFERROR(VLOOKUP(I76,Vstack!$A$2:$L$1000,{10,4},0),""))</f>
        <v/>
      </c>
      <c r="M76" s="193"/>
      <c r="N76" s="121"/>
      <c r="O76" s="193" t="str">
        <f t="shared" si="6"/>
        <v/>
      </c>
      <c r="P76" s="195" t="str">
        <f t="shared" si="7"/>
        <v/>
      </c>
      <c r="Q76" s="246"/>
      <c r="R76" s="229"/>
      <c r="S76" s="245"/>
      <c r="T76" s="229"/>
      <c r="U76" s="196">
        <v>75</v>
      </c>
    </row>
    <row r="77" spans="1:21" ht="15" customHeight="1">
      <c r="A77" s="190" t="str">
        <f t="shared" si="4"/>
        <v>76- -W</v>
      </c>
      <c r="B77" s="123"/>
      <c r="C77" s="125"/>
      <c r="D77" s="190" t="str" cm="1">
        <f t="array" ref="D77">IFERROR(VLOOKUP(C77,Old_Model_Registry!$B$2:$K$500,{3,10,8,9},0),"")</f>
        <v/>
      </c>
      <c r="E77" s="190"/>
      <c r="F77" s="190"/>
      <c r="G77" s="191"/>
      <c r="H77" s="192">
        <f t="shared" si="5"/>
        <v>0</v>
      </c>
      <c r="I77" s="121"/>
      <c r="J77" s="193" t="str" cm="1">
        <f t="array" ref="J77">IF(I77="No-Retrofit",F77,IFERROR(VLOOKUP(I77,Vstack!$A$2:$L$1000,{8},0),""))</f>
        <v/>
      </c>
      <c r="K77" s="224" t="str" cm="1">
        <f t="array" ref="K77">IF(I77="No-Retrofit",F77,IFERROR(VLOOKUP(I77,Vstack!$A$2:$L$1000,{9},0)*N77,""))</f>
        <v/>
      </c>
      <c r="L77" s="193" t="str" cm="1">
        <f t="array" ref="L77">IF(I77="No-Retrofit",F77,IFERROR(VLOOKUP(I77,Vstack!$A$2:$L$1000,{10,4},0),""))</f>
        <v/>
      </c>
      <c r="M77" s="193"/>
      <c r="N77" s="121"/>
      <c r="O77" s="193" t="str">
        <f t="shared" si="6"/>
        <v/>
      </c>
      <c r="P77" s="195" t="str">
        <f t="shared" si="7"/>
        <v/>
      </c>
      <c r="Q77" s="246"/>
      <c r="R77" s="229"/>
      <c r="S77" s="245"/>
      <c r="T77" s="229"/>
      <c r="U77" s="196">
        <v>76</v>
      </c>
    </row>
    <row r="78" spans="1:21" ht="15" customHeight="1">
      <c r="A78" s="190" t="str">
        <f t="shared" si="4"/>
        <v>77- -W</v>
      </c>
      <c r="B78" s="123"/>
      <c r="C78" s="251"/>
      <c r="D78" s="190" t="str" cm="1">
        <f t="array" ref="D78">IFERROR(VLOOKUP(C78,Old_Model_Registry!$B$2:$K$500,{3,10,8,9},0),"")</f>
        <v/>
      </c>
      <c r="E78" s="190"/>
      <c r="F78" s="190"/>
      <c r="G78" s="191"/>
      <c r="H78" s="192">
        <f t="shared" si="5"/>
        <v>0</v>
      </c>
      <c r="I78" s="121"/>
      <c r="J78" s="193" t="str" cm="1">
        <f t="array" ref="J78">IF(I78="No-Retrofit",F78,IFERROR(VLOOKUP(I78,Vstack!$A$2:$L$1000,{8},0),""))</f>
        <v/>
      </c>
      <c r="K78" s="224" t="str" cm="1">
        <f t="array" ref="K78">IF(I78="No-Retrofit",F78,IFERROR(VLOOKUP(I78,Vstack!$A$2:$L$1000,{9},0)*N78,""))</f>
        <v/>
      </c>
      <c r="L78" s="193" t="str" cm="1">
        <f t="array" ref="L78">IF(I78="No-Retrofit",F78,IFERROR(VLOOKUP(I78,Vstack!$A$2:$L$1000,{10,4},0),""))</f>
        <v/>
      </c>
      <c r="M78" s="193"/>
      <c r="N78" s="121"/>
      <c r="O78" s="193" t="str">
        <f t="shared" si="6"/>
        <v/>
      </c>
      <c r="P78" s="195" t="str">
        <f t="shared" si="7"/>
        <v/>
      </c>
      <c r="Q78" s="246"/>
      <c r="R78" s="229"/>
      <c r="S78" s="231"/>
      <c r="T78" s="229"/>
      <c r="U78" s="196">
        <v>77</v>
      </c>
    </row>
    <row r="79" spans="1:21" ht="15" customHeight="1">
      <c r="A79" s="190" t="str">
        <f t="shared" si="4"/>
        <v>78- -W</v>
      </c>
      <c r="B79" s="123"/>
      <c r="C79" s="125"/>
      <c r="D79" s="190" t="str" cm="1">
        <f t="array" ref="D79">IFERROR(VLOOKUP(C79,Old_Model_Registry!$B$2:$K$500,{3,10,8,9},0),"")</f>
        <v/>
      </c>
      <c r="E79" s="190"/>
      <c r="F79" s="190"/>
      <c r="G79" s="191"/>
      <c r="H79" s="192">
        <f t="shared" si="5"/>
        <v>0</v>
      </c>
      <c r="I79" s="121"/>
      <c r="J79" s="193" t="str" cm="1">
        <f t="array" ref="J79">IF(I79="No-Retrofit",F79,IFERROR(VLOOKUP(I79,Vstack!$A$2:$L$1000,{8},0),""))</f>
        <v/>
      </c>
      <c r="K79" s="224" t="str" cm="1">
        <f t="array" ref="K79">IF(I79="No-Retrofit",F79,IFERROR(VLOOKUP(I79,Vstack!$A$2:$L$1000,{9},0)*N79,""))</f>
        <v/>
      </c>
      <c r="L79" s="193" t="str" cm="1">
        <f t="array" ref="L79">IF(I79="No-Retrofit",F79,IFERROR(VLOOKUP(I79,Vstack!$A$2:$L$1000,{10,4},0),""))</f>
        <v/>
      </c>
      <c r="M79" s="193"/>
      <c r="N79" s="121"/>
      <c r="O79" s="193" t="str">
        <f t="shared" si="6"/>
        <v/>
      </c>
      <c r="P79" s="195" t="str">
        <f t="shared" si="7"/>
        <v/>
      </c>
      <c r="Q79" s="246"/>
      <c r="R79" s="229"/>
      <c r="S79" s="231"/>
      <c r="T79" s="229"/>
      <c r="U79" s="196">
        <v>78</v>
      </c>
    </row>
    <row r="80" spans="1:21" ht="15" customHeight="1">
      <c r="A80" s="190" t="str">
        <f t="shared" si="4"/>
        <v>79- -W</v>
      </c>
      <c r="B80" s="123"/>
      <c r="C80" s="125"/>
      <c r="D80" s="190" t="str" cm="1">
        <f t="array" ref="D80">IFERROR(VLOOKUP(C80,Old_Model_Registry!$B$2:$K$500,{3,10,8,9},0),"")</f>
        <v/>
      </c>
      <c r="E80" s="190"/>
      <c r="F80" s="190"/>
      <c r="G80" s="191"/>
      <c r="H80" s="192">
        <f t="shared" si="5"/>
        <v>0</v>
      </c>
      <c r="I80" s="121"/>
      <c r="J80" s="193" t="str" cm="1">
        <f t="array" ref="J80">IF(I80="No-Retrofit",F80,IFERROR(VLOOKUP(I80,Vstack!$A$2:$L$1000,{8},0),""))</f>
        <v/>
      </c>
      <c r="K80" s="224" t="str" cm="1">
        <f t="array" ref="K80">IF(I80="No-Retrofit",F80,IFERROR(VLOOKUP(I80,Vstack!$A$2:$L$1000,{9},0)*N80,""))</f>
        <v/>
      </c>
      <c r="L80" s="193" t="str" cm="1">
        <f t="array" ref="L80">IF(I80="No-Retrofit",F80,IFERROR(VLOOKUP(I80,Vstack!$A$2:$L$1000,{10,4},0),""))</f>
        <v/>
      </c>
      <c r="M80" s="193"/>
      <c r="N80" s="121"/>
      <c r="O80" s="193" t="str">
        <f t="shared" si="6"/>
        <v/>
      </c>
      <c r="P80" s="195" t="str">
        <f t="shared" si="7"/>
        <v/>
      </c>
      <c r="Q80" s="246"/>
      <c r="R80" s="229"/>
      <c r="S80" s="231"/>
      <c r="T80" s="229"/>
      <c r="U80" s="196">
        <v>79</v>
      </c>
    </row>
    <row r="81" spans="1:21" ht="15" customHeight="1">
      <c r="A81" s="190" t="str">
        <f t="shared" si="4"/>
        <v>80- -W</v>
      </c>
      <c r="B81" s="123"/>
      <c r="C81" s="125"/>
      <c r="D81" s="190" t="str" cm="1">
        <f t="array" ref="D81">IFERROR(VLOOKUP(C81,Old_Model_Registry!$B$2:$K$500,{3,10,8,9},0),"")</f>
        <v/>
      </c>
      <c r="E81" s="190"/>
      <c r="F81" s="190"/>
      <c r="G81" s="191"/>
      <c r="H81" s="192">
        <f t="shared" si="5"/>
        <v>0</v>
      </c>
      <c r="I81" s="121"/>
      <c r="J81" s="193" t="str" cm="1">
        <f t="array" ref="J81">IF(I81="No-Retrofit",F81,IFERROR(VLOOKUP(I81,Vstack!$A$2:$L$1000,{8},0),""))</f>
        <v/>
      </c>
      <c r="K81" s="224" t="str" cm="1">
        <f t="array" ref="K81">IF(I81="No-Retrofit",F81,IFERROR(VLOOKUP(I81,Vstack!$A$2:$L$1000,{9},0)*N81,""))</f>
        <v/>
      </c>
      <c r="L81" s="193" t="str" cm="1">
        <f t="array" ref="L81">IF(I81="No-Retrofit",F81,IFERROR(VLOOKUP(I81,Vstack!$A$2:$L$1000,{10,4},0),""))</f>
        <v/>
      </c>
      <c r="M81" s="193"/>
      <c r="N81" s="121"/>
      <c r="O81" s="193" t="str">
        <f t="shared" si="6"/>
        <v/>
      </c>
      <c r="P81" s="195" t="str">
        <f t="shared" si="7"/>
        <v/>
      </c>
      <c r="Q81" s="246"/>
      <c r="R81" s="229"/>
      <c r="S81" s="231"/>
      <c r="T81" s="229"/>
      <c r="U81" s="196">
        <v>80</v>
      </c>
    </row>
    <row r="82" spans="1:21" ht="15" customHeight="1">
      <c r="A82" s="190" t="str">
        <f t="shared" si="4"/>
        <v>81- -W</v>
      </c>
      <c r="B82" s="123"/>
      <c r="C82" s="125"/>
      <c r="D82" s="190" t="str" cm="1">
        <f t="array" ref="D82">IFERROR(VLOOKUP(C82,Old_Model_Registry!$B$2:$K$500,{3,10,8,9},0),"")</f>
        <v/>
      </c>
      <c r="E82" s="190"/>
      <c r="F82" s="190"/>
      <c r="G82" s="191"/>
      <c r="H82" s="192">
        <f t="shared" si="5"/>
        <v>0</v>
      </c>
      <c r="I82" s="121"/>
      <c r="J82" s="193" t="str" cm="1">
        <f t="array" ref="J82">IF(I82="No-Retrofit",F82,IFERROR(VLOOKUP(I82,Vstack!$A$2:$L$1000,{8},0),""))</f>
        <v/>
      </c>
      <c r="K82" s="224" t="str" cm="1">
        <f t="array" ref="K82">IF(I82="No-Retrofit",F82,IFERROR(VLOOKUP(I82,Vstack!$A$2:$L$1000,{9},0)*N82,""))</f>
        <v/>
      </c>
      <c r="L82" s="193" t="str" cm="1">
        <f t="array" ref="L82">IF(I82="No-Retrofit",F82,IFERROR(VLOOKUP(I82,Vstack!$A$2:$L$1000,{10,4},0),""))</f>
        <v/>
      </c>
      <c r="M82" s="193"/>
      <c r="N82" s="121"/>
      <c r="O82" s="193" t="str">
        <f t="shared" si="6"/>
        <v/>
      </c>
      <c r="P82" s="195" t="str">
        <f t="shared" si="7"/>
        <v/>
      </c>
      <c r="Q82" s="246"/>
      <c r="R82" s="229"/>
      <c r="S82" s="245"/>
      <c r="T82" s="229"/>
      <c r="U82" s="196">
        <v>81</v>
      </c>
    </row>
    <row r="83" spans="1:21" ht="15" customHeight="1">
      <c r="A83" s="190" t="str">
        <f t="shared" si="4"/>
        <v>82- -W</v>
      </c>
      <c r="B83" s="123"/>
      <c r="C83" s="125"/>
      <c r="D83" s="190" t="str" cm="1">
        <f t="array" ref="D83">IFERROR(VLOOKUP(C83,Old_Model_Registry!$B$2:$K$500,{3,10,8,9},0),"")</f>
        <v/>
      </c>
      <c r="E83" s="190"/>
      <c r="F83" s="190"/>
      <c r="G83" s="191"/>
      <c r="H83" s="192">
        <f t="shared" si="5"/>
        <v>0</v>
      </c>
      <c r="I83" s="121"/>
      <c r="J83" s="193" t="str" cm="1">
        <f t="array" ref="J83">IF(I83="No-Retrofit",F83,IFERROR(VLOOKUP(I83,Vstack!$A$2:$L$1000,{8},0),""))</f>
        <v/>
      </c>
      <c r="K83" s="224" t="str" cm="1">
        <f t="array" ref="K83">IF(I83="No-Retrofit",F83,IFERROR(VLOOKUP(I83,Vstack!$A$2:$L$1000,{9},0)*N83,""))</f>
        <v/>
      </c>
      <c r="L83" s="193" t="str" cm="1">
        <f t="array" ref="L83">IF(I83="No-Retrofit",F83,IFERROR(VLOOKUP(I83,Vstack!$A$2:$L$1000,{10,4},0),""))</f>
        <v/>
      </c>
      <c r="M83" s="193"/>
      <c r="N83" s="121"/>
      <c r="O83" s="193" t="str">
        <f t="shared" si="6"/>
        <v/>
      </c>
      <c r="P83" s="195" t="str">
        <f t="shared" si="7"/>
        <v/>
      </c>
      <c r="Q83" s="246"/>
      <c r="R83" s="229"/>
      <c r="S83" s="231"/>
      <c r="T83" s="229"/>
      <c r="U83" s="196">
        <v>82</v>
      </c>
    </row>
    <row r="84" spans="1:21" ht="15" customHeight="1">
      <c r="A84" s="190" t="str">
        <f t="shared" si="4"/>
        <v>83- -W</v>
      </c>
      <c r="B84" s="123"/>
      <c r="C84" s="125"/>
      <c r="D84" s="190" t="str" cm="1">
        <f t="array" ref="D84">IFERROR(VLOOKUP(C84,Old_Model_Registry!$B$2:$K$500,{3,10,8,9},0),"")</f>
        <v/>
      </c>
      <c r="E84" s="190"/>
      <c r="F84" s="190"/>
      <c r="G84" s="191"/>
      <c r="H84" s="192">
        <f t="shared" si="5"/>
        <v>0</v>
      </c>
      <c r="I84" s="121"/>
      <c r="J84" s="193" t="str" cm="1">
        <f t="array" ref="J84">IF(I84="No-Retrofit",F84,IFERROR(VLOOKUP(I84,Vstack!$A$2:$L$1000,{8},0),""))</f>
        <v/>
      </c>
      <c r="K84" s="224" t="str" cm="1">
        <f t="array" ref="K84">IF(I84="No-Retrofit",F84,IFERROR(VLOOKUP(I84,Vstack!$A$2:$L$1000,{9},0)*N84,""))</f>
        <v/>
      </c>
      <c r="L84" s="193" t="str" cm="1">
        <f t="array" ref="L84">IF(I84="No-Retrofit",F84,IFERROR(VLOOKUP(I84,Vstack!$A$2:$L$1000,{10,4},0),""))</f>
        <v/>
      </c>
      <c r="M84" s="193"/>
      <c r="N84" s="121"/>
      <c r="O84" s="193" t="str">
        <f t="shared" si="6"/>
        <v/>
      </c>
      <c r="P84" s="195" t="str">
        <f t="shared" si="7"/>
        <v/>
      </c>
      <c r="Q84" s="246"/>
      <c r="R84" s="229"/>
      <c r="S84" s="231"/>
      <c r="T84" s="229"/>
      <c r="U84" s="196">
        <v>83</v>
      </c>
    </row>
    <row r="85" spans="1:21" ht="15" customHeight="1">
      <c r="A85" s="190" t="str">
        <f t="shared" si="4"/>
        <v>84- -W</v>
      </c>
      <c r="B85" s="123"/>
      <c r="C85" s="125"/>
      <c r="D85" s="190" t="str" cm="1">
        <f t="array" ref="D85">IFERROR(VLOOKUP(C85,Old_Model_Registry!$B$2:$K$500,{3,10,8,9},0),"")</f>
        <v/>
      </c>
      <c r="E85" s="190"/>
      <c r="F85" s="190"/>
      <c r="G85" s="191"/>
      <c r="H85" s="192">
        <f t="shared" si="5"/>
        <v>0</v>
      </c>
      <c r="I85" s="121"/>
      <c r="J85" s="193" t="str" cm="1">
        <f t="array" ref="J85">IF(I85="No-Retrofit",F85,IFERROR(VLOOKUP(I85,Vstack!$A$2:$L$1000,{8},0),""))</f>
        <v/>
      </c>
      <c r="K85" s="224" t="str" cm="1">
        <f t="array" ref="K85">IF(I85="No-Retrofit",F85,IFERROR(VLOOKUP(I85,Vstack!$A$2:$L$1000,{9},0)*N85,""))</f>
        <v/>
      </c>
      <c r="L85" s="193" t="str" cm="1">
        <f t="array" ref="L85">IF(I85="No-Retrofit",F85,IFERROR(VLOOKUP(I85,Vstack!$A$2:$L$1000,{10,4},0),""))</f>
        <v/>
      </c>
      <c r="M85" s="193"/>
      <c r="N85" s="121"/>
      <c r="O85" s="193" t="str">
        <f t="shared" si="6"/>
        <v/>
      </c>
      <c r="P85" s="195" t="str">
        <f t="shared" si="7"/>
        <v/>
      </c>
      <c r="Q85" s="246"/>
      <c r="R85" s="229"/>
      <c r="S85" s="231"/>
      <c r="T85" s="229"/>
      <c r="U85" s="196">
        <v>84</v>
      </c>
    </row>
    <row r="86" spans="1:21" ht="15" customHeight="1">
      <c r="A86" s="190" t="str">
        <f t="shared" si="4"/>
        <v>85- -W</v>
      </c>
      <c r="B86" s="123"/>
      <c r="C86" s="125"/>
      <c r="D86" s="190" t="str" cm="1">
        <f t="array" ref="D86">IFERROR(VLOOKUP(C86,Old_Model_Registry!$B$2:$K$500,{3,10,8,9},0),"")</f>
        <v/>
      </c>
      <c r="E86" s="190"/>
      <c r="F86" s="190"/>
      <c r="G86" s="191"/>
      <c r="H86" s="192">
        <f t="shared" si="5"/>
        <v>0</v>
      </c>
      <c r="I86" s="121"/>
      <c r="J86" s="193" t="str" cm="1">
        <f t="array" ref="J86">IF(I86="No-Retrofit",F86,IFERROR(VLOOKUP(I86,Vstack!$A$2:$L$1000,{8},0),""))</f>
        <v/>
      </c>
      <c r="K86" s="224" t="str" cm="1">
        <f t="array" ref="K86">IF(I86="No-Retrofit",F86,IFERROR(VLOOKUP(I86,Vstack!$A$2:$L$1000,{9},0)*N86,""))</f>
        <v/>
      </c>
      <c r="L86" s="193" t="str" cm="1">
        <f t="array" ref="L86">IF(I86="No-Retrofit",F86,IFERROR(VLOOKUP(I86,Vstack!$A$2:$L$1000,{10,4},0),""))</f>
        <v/>
      </c>
      <c r="M86" s="193"/>
      <c r="N86" s="121"/>
      <c r="O86" s="193" t="str">
        <f t="shared" si="6"/>
        <v/>
      </c>
      <c r="P86" s="195" t="str">
        <f t="shared" si="7"/>
        <v/>
      </c>
      <c r="Q86" s="246"/>
      <c r="R86" s="229"/>
      <c r="S86" s="231"/>
      <c r="T86" s="229"/>
      <c r="U86" s="196">
        <v>85</v>
      </c>
    </row>
    <row r="87" spans="1:21" ht="15" customHeight="1">
      <c r="A87" s="190" t="str">
        <f t="shared" si="4"/>
        <v>86- -W</v>
      </c>
      <c r="B87" s="123"/>
      <c r="C87" s="125"/>
      <c r="D87" s="190" t="str" cm="1">
        <f t="array" ref="D87">IFERROR(VLOOKUP(C87,Old_Model_Registry!$B$2:$K$500,{3,10,8,9},0),"")</f>
        <v/>
      </c>
      <c r="E87" s="190"/>
      <c r="F87" s="190"/>
      <c r="G87" s="191"/>
      <c r="H87" s="192">
        <f t="shared" si="5"/>
        <v>0</v>
      </c>
      <c r="I87" s="121"/>
      <c r="J87" s="193" t="str" cm="1">
        <f t="array" ref="J87">IF(I87="No-Retrofit",F87,IFERROR(VLOOKUP(I87,Vstack!$A$2:$L$1000,{8},0),""))</f>
        <v/>
      </c>
      <c r="K87" s="224" t="str" cm="1">
        <f t="array" ref="K87">IF(I87="No-Retrofit",F87,IFERROR(VLOOKUP(I87,Vstack!$A$2:$L$1000,{9},0)*N87,""))</f>
        <v/>
      </c>
      <c r="L87" s="193" t="str" cm="1">
        <f t="array" ref="L87">IF(I87="No-Retrofit",F87,IFERROR(VLOOKUP(I87,Vstack!$A$2:$L$1000,{10,4},0),""))</f>
        <v/>
      </c>
      <c r="M87" s="193"/>
      <c r="N87" s="121"/>
      <c r="O87" s="193" t="str">
        <f t="shared" si="6"/>
        <v/>
      </c>
      <c r="P87" s="195" t="str">
        <f t="shared" si="7"/>
        <v/>
      </c>
      <c r="Q87" s="246"/>
      <c r="R87" s="229"/>
      <c r="S87" s="231"/>
      <c r="T87" s="229"/>
      <c r="U87" s="196">
        <v>86</v>
      </c>
    </row>
    <row r="88" spans="1:21" ht="15" customHeight="1">
      <c r="A88" s="190" t="str">
        <f t="shared" si="4"/>
        <v>87- -W</v>
      </c>
      <c r="B88" s="123"/>
      <c r="C88" s="125"/>
      <c r="D88" s="190" t="str" cm="1">
        <f t="array" ref="D88">IFERROR(VLOOKUP(C88,Old_Model_Registry!$B$2:$K$500,{3,10,8,9},0),"")</f>
        <v/>
      </c>
      <c r="E88" s="190"/>
      <c r="F88" s="190"/>
      <c r="G88" s="191"/>
      <c r="H88" s="192">
        <f t="shared" si="5"/>
        <v>0</v>
      </c>
      <c r="I88" s="121"/>
      <c r="J88" s="193" t="str" cm="1">
        <f t="array" ref="J88">IF(I88="No-Retrofit",F88,IFERROR(VLOOKUP(I88,Vstack!$A$2:$L$1000,{8},0),""))</f>
        <v/>
      </c>
      <c r="K88" s="224" t="str" cm="1">
        <f t="array" ref="K88">IF(I88="No-Retrofit",F88,IFERROR(VLOOKUP(I88,Vstack!$A$2:$L$1000,{9},0)*N88,""))</f>
        <v/>
      </c>
      <c r="L88" s="193" t="str" cm="1">
        <f t="array" ref="L88">IF(I88="No-Retrofit",F88,IFERROR(VLOOKUP(I88,Vstack!$A$2:$L$1000,{10,4},0),""))</f>
        <v/>
      </c>
      <c r="M88" s="193"/>
      <c r="N88" s="121"/>
      <c r="O88" s="193" t="str">
        <f t="shared" si="6"/>
        <v/>
      </c>
      <c r="P88" s="195" t="str">
        <f t="shared" si="7"/>
        <v/>
      </c>
      <c r="Q88" s="246"/>
      <c r="R88" s="229"/>
      <c r="S88" s="231"/>
      <c r="T88" s="229"/>
      <c r="U88" s="196">
        <v>87</v>
      </c>
    </row>
    <row r="89" spans="1:21" ht="15" customHeight="1">
      <c r="A89" s="190" t="str">
        <f t="shared" si="4"/>
        <v>88- -W</v>
      </c>
      <c r="B89" s="123"/>
      <c r="C89" s="125"/>
      <c r="D89" s="190" t="str" cm="1">
        <f t="array" ref="D89">IFERROR(VLOOKUP(C89,Old_Model_Registry!$B$2:$K$500,{3,10,8,9},0),"")</f>
        <v/>
      </c>
      <c r="E89" s="190"/>
      <c r="F89" s="190"/>
      <c r="G89" s="191"/>
      <c r="H89" s="192">
        <f t="shared" si="5"/>
        <v>0</v>
      </c>
      <c r="I89" s="121"/>
      <c r="J89" s="193" t="str" cm="1">
        <f t="array" ref="J89">IF(I89="No-Retrofit",F89,IFERROR(VLOOKUP(I89,Vstack!$A$2:$L$1000,{8},0),""))</f>
        <v/>
      </c>
      <c r="K89" s="224" t="str" cm="1">
        <f t="array" ref="K89">IF(I89="No-Retrofit",F89,IFERROR(VLOOKUP(I89,Vstack!$A$2:$L$1000,{9},0)*N89,""))</f>
        <v/>
      </c>
      <c r="L89" s="193" t="str" cm="1">
        <f t="array" ref="L89">IF(I89="No-Retrofit",F89,IFERROR(VLOOKUP(I89,Vstack!$A$2:$L$1000,{10,4},0),""))</f>
        <v/>
      </c>
      <c r="M89" s="193"/>
      <c r="N89" s="121"/>
      <c r="O89" s="193" t="str">
        <f t="shared" si="6"/>
        <v/>
      </c>
      <c r="P89" s="195" t="str">
        <f t="shared" si="7"/>
        <v/>
      </c>
      <c r="Q89" s="246"/>
      <c r="R89" s="229"/>
      <c r="S89" s="245"/>
      <c r="T89" s="229"/>
      <c r="U89" s="196">
        <v>88</v>
      </c>
    </row>
    <row r="90" spans="1:21" ht="15" customHeight="1">
      <c r="A90" s="190" t="str">
        <f t="shared" si="4"/>
        <v>89- -W</v>
      </c>
      <c r="B90" s="123"/>
      <c r="C90" s="125"/>
      <c r="D90" s="190" t="str" cm="1">
        <f t="array" ref="D90">IFERROR(VLOOKUP(C90,Old_Model_Registry!$B$2:$K$500,{3,10,8,9},0),"")</f>
        <v/>
      </c>
      <c r="E90" s="190"/>
      <c r="F90" s="190"/>
      <c r="G90" s="191"/>
      <c r="H90" s="192">
        <f t="shared" si="5"/>
        <v>0</v>
      </c>
      <c r="I90" s="121"/>
      <c r="J90" s="193" t="str" cm="1">
        <f t="array" ref="J90">IF(I90="No-Retrofit",F90,IFERROR(VLOOKUP(I90,Vstack!$A$2:$L$1000,{8},0),""))</f>
        <v/>
      </c>
      <c r="K90" s="224" t="str" cm="1">
        <f t="array" ref="K90">IF(I90="No-Retrofit",F90,IFERROR(VLOOKUP(I90,Vstack!$A$2:$L$1000,{9},0)*N90,""))</f>
        <v/>
      </c>
      <c r="L90" s="193" t="str" cm="1">
        <f t="array" ref="L90">IF(I90="No-Retrofit",F90,IFERROR(VLOOKUP(I90,Vstack!$A$2:$L$1000,{10,4},0),""))</f>
        <v/>
      </c>
      <c r="M90" s="193"/>
      <c r="N90" s="121"/>
      <c r="O90" s="193" t="str">
        <f t="shared" si="6"/>
        <v/>
      </c>
      <c r="P90" s="195" t="str">
        <f t="shared" si="7"/>
        <v/>
      </c>
      <c r="Q90" s="246"/>
      <c r="R90" s="229"/>
      <c r="S90" s="245"/>
      <c r="T90" s="229"/>
      <c r="U90" s="196">
        <v>89</v>
      </c>
    </row>
    <row r="91" spans="1:21" ht="15" customHeight="1">
      <c r="A91" s="190" t="str">
        <f t="shared" si="4"/>
        <v>90- -W</v>
      </c>
      <c r="B91" s="123"/>
      <c r="C91" s="125"/>
      <c r="D91" s="190" t="str" cm="1">
        <f t="array" ref="D91">IFERROR(VLOOKUP(C91,Old_Model_Registry!$B$2:$K$500,{3,10,8,9},0),"")</f>
        <v/>
      </c>
      <c r="E91" s="190"/>
      <c r="F91" s="190"/>
      <c r="G91" s="191"/>
      <c r="H91" s="192">
        <f t="shared" si="5"/>
        <v>0</v>
      </c>
      <c r="I91" s="121"/>
      <c r="J91" s="193" t="str" cm="1">
        <f t="array" ref="J91">IF(I91="No-Retrofit",F91,IFERROR(VLOOKUP(I91,Vstack!$A$2:$L$1000,{8},0),""))</f>
        <v/>
      </c>
      <c r="K91" s="224" t="str" cm="1">
        <f t="array" ref="K91">IF(I91="No-Retrofit",F91,IFERROR(VLOOKUP(I91,Vstack!$A$2:$L$1000,{9},0)*N91,""))</f>
        <v/>
      </c>
      <c r="L91" s="193" t="str" cm="1">
        <f t="array" ref="L91">IF(I91="No-Retrofit",F91,IFERROR(VLOOKUP(I91,Vstack!$A$2:$L$1000,{10,4},0),""))</f>
        <v/>
      </c>
      <c r="M91" s="193"/>
      <c r="N91" s="121"/>
      <c r="O91" s="193" t="str">
        <f t="shared" si="6"/>
        <v/>
      </c>
      <c r="P91" s="195" t="str">
        <f t="shared" si="7"/>
        <v/>
      </c>
      <c r="Q91" s="246"/>
      <c r="R91" s="229"/>
      <c r="S91" s="245"/>
      <c r="T91" s="229"/>
      <c r="U91" s="196">
        <v>90</v>
      </c>
    </row>
    <row r="92" spans="1:21" ht="15" customHeight="1">
      <c r="A92" s="190" t="str">
        <f t="shared" si="4"/>
        <v>91- -W</v>
      </c>
      <c r="B92" s="123"/>
      <c r="C92" s="125"/>
      <c r="D92" s="190" t="str" cm="1">
        <f t="array" ref="D92">IFERROR(VLOOKUP(C92,Old_Model_Registry!$B$2:$K$500,{3,10,8,9},0),"")</f>
        <v/>
      </c>
      <c r="E92" s="190"/>
      <c r="F92" s="190"/>
      <c r="G92" s="191"/>
      <c r="H92" s="192">
        <f t="shared" si="5"/>
        <v>0</v>
      </c>
      <c r="I92" s="121"/>
      <c r="J92" s="193" t="str" cm="1">
        <f t="array" ref="J92">IF(I92="No-Retrofit",F92,IFERROR(VLOOKUP(I92,Vstack!$A$2:$L$1000,{8},0),""))</f>
        <v/>
      </c>
      <c r="K92" s="224" t="str" cm="1">
        <f t="array" ref="K92">IF(I92="No-Retrofit",F92,IFERROR(VLOOKUP(I92,Vstack!$A$2:$L$1000,{9},0)*N92,""))</f>
        <v/>
      </c>
      <c r="L92" s="193" t="str" cm="1">
        <f t="array" ref="L92">IF(I92="No-Retrofit",F92,IFERROR(VLOOKUP(I92,Vstack!$A$2:$L$1000,{10,4},0),""))</f>
        <v/>
      </c>
      <c r="M92" s="193"/>
      <c r="N92" s="121"/>
      <c r="O92" s="193" t="str">
        <f t="shared" si="6"/>
        <v/>
      </c>
      <c r="P92" s="195" t="str">
        <f t="shared" si="7"/>
        <v/>
      </c>
      <c r="Q92" s="246"/>
      <c r="R92" s="229"/>
      <c r="S92" s="245"/>
      <c r="T92" s="229"/>
      <c r="U92" s="196">
        <v>91</v>
      </c>
    </row>
    <row r="93" spans="1:21" ht="15" customHeight="1">
      <c r="A93" s="190" t="str">
        <f t="shared" si="4"/>
        <v>92- -W</v>
      </c>
      <c r="B93" s="123"/>
      <c r="C93" s="125"/>
      <c r="D93" s="190" t="str" cm="1">
        <f t="array" ref="D93">IFERROR(VLOOKUP(C93,Old_Model_Registry!$B$2:$K$500,{3,10,8,9},0),"")</f>
        <v/>
      </c>
      <c r="E93" s="190"/>
      <c r="F93" s="190"/>
      <c r="G93" s="191"/>
      <c r="H93" s="192">
        <f t="shared" si="5"/>
        <v>0</v>
      </c>
      <c r="I93" s="121"/>
      <c r="J93" s="193" t="str" cm="1">
        <f t="array" ref="J93">IF(I93="No-Retrofit",F93,IFERROR(VLOOKUP(I93,Vstack!$A$2:$L$1000,{8},0),""))</f>
        <v/>
      </c>
      <c r="K93" s="224" t="str" cm="1">
        <f t="array" ref="K93">IF(I93="No-Retrofit",F93,IFERROR(VLOOKUP(I93,Vstack!$A$2:$L$1000,{9},0)*N93,""))</f>
        <v/>
      </c>
      <c r="L93" s="193" t="str" cm="1">
        <f t="array" ref="L93">IF(I93="No-Retrofit",F93,IFERROR(VLOOKUP(I93,Vstack!$A$2:$L$1000,{10,4},0),""))</f>
        <v/>
      </c>
      <c r="M93" s="193"/>
      <c r="N93" s="121"/>
      <c r="O93" s="193" t="str">
        <f t="shared" si="6"/>
        <v/>
      </c>
      <c r="P93" s="195" t="str">
        <f t="shared" si="7"/>
        <v/>
      </c>
      <c r="Q93" s="246"/>
      <c r="R93" s="229"/>
      <c r="S93" s="231"/>
      <c r="T93" s="229"/>
      <c r="U93" s="196">
        <v>92</v>
      </c>
    </row>
    <row r="94" spans="1:21" ht="15" customHeight="1">
      <c r="A94" s="190" t="str">
        <f t="shared" si="4"/>
        <v>93- -W</v>
      </c>
      <c r="B94" s="123"/>
      <c r="C94" s="125"/>
      <c r="D94" s="190" t="str" cm="1">
        <f t="array" ref="D94">IFERROR(VLOOKUP(C94,Old_Model_Registry!$B$2:$K$500,{3,10,8,9},0),"")</f>
        <v/>
      </c>
      <c r="E94" s="190"/>
      <c r="F94" s="190"/>
      <c r="G94" s="191"/>
      <c r="H94" s="192">
        <f t="shared" si="5"/>
        <v>0</v>
      </c>
      <c r="I94" s="121"/>
      <c r="J94" s="193" t="str" cm="1">
        <f t="array" ref="J94">IF(I94="No-Retrofit",F94,IFERROR(VLOOKUP(I94,Vstack!$A$2:$L$1000,{8},0),""))</f>
        <v/>
      </c>
      <c r="K94" s="224" t="str" cm="1">
        <f t="array" ref="K94">IF(I94="No-Retrofit",F94,IFERROR(VLOOKUP(I94,Vstack!$A$2:$L$1000,{9},0)*N94,""))</f>
        <v/>
      </c>
      <c r="L94" s="193" t="str" cm="1">
        <f t="array" ref="L94">IF(I94="No-Retrofit",F94,IFERROR(VLOOKUP(I94,Vstack!$A$2:$L$1000,{10,4},0),""))</f>
        <v/>
      </c>
      <c r="M94" s="193"/>
      <c r="N94" s="121"/>
      <c r="O94" s="193" t="str">
        <f t="shared" si="6"/>
        <v/>
      </c>
      <c r="P94" s="195" t="str">
        <f t="shared" si="7"/>
        <v/>
      </c>
      <c r="Q94" s="246"/>
      <c r="R94" s="229"/>
      <c r="S94" s="231"/>
      <c r="T94" s="229"/>
      <c r="U94" s="196">
        <v>93</v>
      </c>
    </row>
    <row r="95" spans="1:21" ht="15" customHeight="1">
      <c r="A95" s="190" t="str">
        <f t="shared" si="4"/>
        <v>94- -W</v>
      </c>
      <c r="B95" s="123"/>
      <c r="C95" s="125"/>
      <c r="D95" s="190" t="str" cm="1">
        <f t="array" ref="D95">IFERROR(VLOOKUP(C95,Old_Model_Registry!$B$2:$K$500,{3,10,8,9},0),"")</f>
        <v/>
      </c>
      <c r="E95" s="190"/>
      <c r="F95" s="190"/>
      <c r="G95" s="191"/>
      <c r="H95" s="192">
        <f t="shared" si="5"/>
        <v>0</v>
      </c>
      <c r="I95" s="121"/>
      <c r="J95" s="193" t="str" cm="1">
        <f t="array" ref="J95">IF(I95="No-Retrofit",F95,IFERROR(VLOOKUP(I95,Vstack!$A$2:$L$1000,{8},0),""))</f>
        <v/>
      </c>
      <c r="K95" s="224" t="str" cm="1">
        <f t="array" ref="K95">IF(I95="No-Retrofit",F95,IFERROR(VLOOKUP(I95,Vstack!$A$2:$L$1000,{9},0)*N95,""))</f>
        <v/>
      </c>
      <c r="L95" s="193" t="str" cm="1">
        <f t="array" ref="L95">IF(I95="No-Retrofit",F95,IFERROR(VLOOKUP(I95,Vstack!$A$2:$L$1000,{10,4},0),""))</f>
        <v/>
      </c>
      <c r="M95" s="193"/>
      <c r="N95" s="121"/>
      <c r="O95" s="193" t="str">
        <f t="shared" si="6"/>
        <v/>
      </c>
      <c r="P95" s="195" t="str">
        <f t="shared" si="7"/>
        <v/>
      </c>
      <c r="Q95" s="246"/>
      <c r="R95" s="229"/>
      <c r="S95" s="231"/>
      <c r="T95" s="229"/>
      <c r="U95" s="196">
        <v>94</v>
      </c>
    </row>
    <row r="96" spans="1:21" ht="15" customHeight="1">
      <c r="A96" s="190" t="str">
        <f t="shared" si="4"/>
        <v>95- -W</v>
      </c>
      <c r="B96" s="123"/>
      <c r="C96" s="125"/>
      <c r="D96" s="190" t="str" cm="1">
        <f t="array" ref="D96">IFERROR(VLOOKUP(C96,Old_Model_Registry!$B$2:$K$500,{3,10,8,9},0),"")</f>
        <v/>
      </c>
      <c r="E96" s="190"/>
      <c r="F96" s="190"/>
      <c r="G96" s="191"/>
      <c r="H96" s="192">
        <f t="shared" si="5"/>
        <v>0</v>
      </c>
      <c r="I96" s="121"/>
      <c r="J96" s="193" t="str" cm="1">
        <f t="array" ref="J96">IF(I96="No-Retrofit",F96,IFERROR(VLOOKUP(I96,Vstack!$A$2:$L$1000,{8},0),""))</f>
        <v/>
      </c>
      <c r="K96" s="224" t="str" cm="1">
        <f t="array" ref="K96">IF(I96="No-Retrofit",F96,IFERROR(VLOOKUP(I96,Vstack!$A$2:$L$1000,{9},0)*N96,""))</f>
        <v/>
      </c>
      <c r="L96" s="193" t="str" cm="1">
        <f t="array" ref="L96">IF(I96="No-Retrofit",F96,IFERROR(VLOOKUP(I96,Vstack!$A$2:$L$1000,{10,4},0),""))</f>
        <v/>
      </c>
      <c r="M96" s="193"/>
      <c r="N96" s="121"/>
      <c r="O96" s="193" t="str">
        <f t="shared" si="6"/>
        <v/>
      </c>
      <c r="P96" s="195" t="str">
        <f t="shared" si="7"/>
        <v/>
      </c>
      <c r="Q96" s="246"/>
      <c r="R96" s="229"/>
      <c r="S96" s="231"/>
      <c r="T96" s="229"/>
      <c r="U96" s="196">
        <v>95</v>
      </c>
    </row>
    <row r="97" spans="1:21" ht="15" customHeight="1">
      <c r="A97" s="190" t="str">
        <f t="shared" si="4"/>
        <v>96- -W</v>
      </c>
      <c r="B97" s="123"/>
      <c r="C97" s="125"/>
      <c r="D97" s="190" t="str" cm="1">
        <f t="array" ref="D97">IFERROR(VLOOKUP(C97,Old_Model_Registry!$B$2:$K$500,{3,10,8,9},0),"")</f>
        <v/>
      </c>
      <c r="E97" s="190"/>
      <c r="F97" s="190"/>
      <c r="G97" s="191"/>
      <c r="H97" s="192">
        <f t="shared" si="5"/>
        <v>0</v>
      </c>
      <c r="I97" s="121"/>
      <c r="J97" s="193" t="str" cm="1">
        <f t="array" ref="J97">IF(I97="No-Retrofit",F97,IFERROR(VLOOKUP(I97,Vstack!$A$2:$L$1000,{8},0),""))</f>
        <v/>
      </c>
      <c r="K97" s="224" t="str" cm="1">
        <f t="array" ref="K97">IF(I97="No-Retrofit",F97,IFERROR(VLOOKUP(I97,Vstack!$A$2:$L$1000,{9},0)*N97,""))</f>
        <v/>
      </c>
      <c r="L97" s="193" t="str" cm="1">
        <f t="array" ref="L97">IF(I97="No-Retrofit",F97,IFERROR(VLOOKUP(I97,Vstack!$A$2:$L$1000,{10,4},0),""))</f>
        <v/>
      </c>
      <c r="M97" s="193"/>
      <c r="N97" s="121"/>
      <c r="O97" s="193" t="str">
        <f t="shared" si="6"/>
        <v/>
      </c>
      <c r="P97" s="195" t="str">
        <f t="shared" si="7"/>
        <v/>
      </c>
      <c r="Q97" s="246"/>
      <c r="R97" s="229"/>
      <c r="S97" s="231"/>
      <c r="T97" s="229"/>
      <c r="U97" s="196">
        <v>96</v>
      </c>
    </row>
    <row r="98" spans="1:21" ht="15" customHeight="1">
      <c r="A98" s="190" t="str">
        <f t="shared" si="4"/>
        <v>97- -W</v>
      </c>
      <c r="B98" s="123"/>
      <c r="C98" s="125"/>
      <c r="D98" s="190" t="str" cm="1">
        <f t="array" ref="D98">IFERROR(VLOOKUP(C98,Old_Model_Registry!$B$2:$K$500,{3,10,8,9},0),"")</f>
        <v/>
      </c>
      <c r="E98" s="190"/>
      <c r="F98" s="190"/>
      <c r="G98" s="191"/>
      <c r="H98" s="192">
        <f t="shared" si="5"/>
        <v>0</v>
      </c>
      <c r="I98" s="121"/>
      <c r="J98" s="193" t="str" cm="1">
        <f t="array" ref="J98">IF(I98="No-Retrofit",F98,IFERROR(VLOOKUP(I98,Vstack!$A$2:$L$1000,{8},0),""))</f>
        <v/>
      </c>
      <c r="K98" s="224" t="str" cm="1">
        <f t="array" ref="K98">IF(I98="No-Retrofit",F98,IFERROR(VLOOKUP(I98,Vstack!$A$2:$L$1000,{9},0)*N98,""))</f>
        <v/>
      </c>
      <c r="L98" s="193" t="str" cm="1">
        <f t="array" ref="L98">IF(I98="No-Retrofit",F98,IFERROR(VLOOKUP(I98,Vstack!$A$2:$L$1000,{10,4},0),""))</f>
        <v/>
      </c>
      <c r="M98" s="193"/>
      <c r="N98" s="121"/>
      <c r="O98" s="193" t="str">
        <f t="shared" si="6"/>
        <v/>
      </c>
      <c r="P98" s="195" t="str">
        <f t="shared" si="7"/>
        <v/>
      </c>
      <c r="Q98" s="246"/>
      <c r="R98" s="229"/>
      <c r="S98" s="245"/>
      <c r="T98" s="229"/>
      <c r="U98" s="196">
        <v>97</v>
      </c>
    </row>
    <row r="99" spans="1:21" ht="15" customHeight="1">
      <c r="A99" s="190" t="str">
        <f t="shared" si="4"/>
        <v>98- -W</v>
      </c>
      <c r="B99" s="123"/>
      <c r="C99" s="125"/>
      <c r="D99" s="190" t="str" cm="1">
        <f t="array" ref="D99">IFERROR(VLOOKUP(C99,Old_Model_Registry!$B$2:$K$500,{3,10,8,9},0),"")</f>
        <v/>
      </c>
      <c r="E99" s="190"/>
      <c r="F99" s="190"/>
      <c r="G99" s="191"/>
      <c r="H99" s="192">
        <f t="shared" si="5"/>
        <v>0</v>
      </c>
      <c r="I99" s="121"/>
      <c r="J99" s="193" t="str" cm="1">
        <f t="array" ref="J99">IF(I99="No-Retrofit",F99,IFERROR(VLOOKUP(I99,Vstack!$A$2:$L$1000,{8},0),""))</f>
        <v/>
      </c>
      <c r="K99" s="224" t="str" cm="1">
        <f t="array" ref="K99">IF(I99="No-Retrofit",F99,IFERROR(VLOOKUP(I99,Vstack!$A$2:$L$1000,{9},0)*N99,""))</f>
        <v/>
      </c>
      <c r="L99" s="193" t="str" cm="1">
        <f t="array" ref="L99">IF(I99="No-Retrofit",F99,IFERROR(VLOOKUP(I99,Vstack!$A$2:$L$1000,{10,4},0),""))</f>
        <v/>
      </c>
      <c r="M99" s="193"/>
      <c r="N99" s="121"/>
      <c r="O99" s="193" t="str">
        <f t="shared" si="6"/>
        <v/>
      </c>
      <c r="P99" s="195" t="str">
        <f t="shared" si="7"/>
        <v/>
      </c>
      <c r="Q99" s="246"/>
      <c r="R99" s="229"/>
      <c r="S99" s="245"/>
      <c r="T99" s="229"/>
      <c r="U99" s="196">
        <v>98</v>
      </c>
    </row>
    <row r="100" spans="1:21" ht="15" customHeight="1">
      <c r="A100" s="190" t="str">
        <f t="shared" si="4"/>
        <v>99- -W</v>
      </c>
      <c r="B100" s="123"/>
      <c r="C100" s="125"/>
      <c r="D100" s="190" t="str" cm="1">
        <f t="array" ref="D100">IFERROR(VLOOKUP(C100,Old_Model_Registry!$B$2:$K$500,{3,10,8,9},0),"")</f>
        <v/>
      </c>
      <c r="E100" s="190"/>
      <c r="F100" s="190"/>
      <c r="G100" s="191"/>
      <c r="H100" s="192">
        <f t="shared" si="5"/>
        <v>0</v>
      </c>
      <c r="I100" s="121"/>
      <c r="J100" s="193" t="str" cm="1">
        <f t="array" ref="J100">IF(I100="No-Retrofit",F100,IFERROR(VLOOKUP(I100,Vstack!$A$2:$L$1000,{8},0),""))</f>
        <v/>
      </c>
      <c r="K100" s="224" t="str" cm="1">
        <f t="array" ref="K100">IF(I100="No-Retrofit",F100,IFERROR(VLOOKUP(I100,Vstack!$A$2:$L$1000,{9},0)*N100,""))</f>
        <v/>
      </c>
      <c r="L100" s="193" t="str" cm="1">
        <f t="array" ref="L100">IF(I100="No-Retrofit",F100,IFERROR(VLOOKUP(I100,Vstack!$A$2:$L$1000,{10,4},0),""))</f>
        <v/>
      </c>
      <c r="M100" s="193"/>
      <c r="N100" s="121"/>
      <c r="O100" s="193" t="str">
        <f t="shared" si="6"/>
        <v/>
      </c>
      <c r="P100" s="195" t="str">
        <f t="shared" si="7"/>
        <v/>
      </c>
      <c r="Q100" s="246"/>
      <c r="R100" s="229"/>
      <c r="S100" s="231"/>
      <c r="T100" s="229"/>
      <c r="U100" s="196">
        <v>99</v>
      </c>
    </row>
    <row r="101" spans="1:21" ht="15" customHeight="1">
      <c r="A101" s="190" t="str">
        <f t="shared" si="4"/>
        <v>100- -W</v>
      </c>
      <c r="B101" s="123"/>
      <c r="C101" s="125"/>
      <c r="D101" s="190" t="str" cm="1">
        <f t="array" ref="D101">IFERROR(VLOOKUP(C101,Old_Model_Registry!$B$2:$K$500,{3,10,8,9},0),"")</f>
        <v/>
      </c>
      <c r="E101" s="190"/>
      <c r="F101" s="190"/>
      <c r="G101" s="191"/>
      <c r="H101" s="192">
        <f t="shared" si="5"/>
        <v>0</v>
      </c>
      <c r="I101" s="121"/>
      <c r="J101" s="193" t="str" cm="1">
        <f t="array" ref="J101">IF(I101="No-Retrofit",F101,IFERROR(VLOOKUP(I101,Vstack!$A$2:$L$1000,{8},0),""))</f>
        <v/>
      </c>
      <c r="K101" s="224" t="str" cm="1">
        <f t="array" ref="K101">IF(I101="No-Retrofit",F101,IFERROR(VLOOKUP(I101,Vstack!$A$2:$L$1000,{9},0)*N101,""))</f>
        <v/>
      </c>
      <c r="L101" s="193" t="str" cm="1">
        <f t="array" ref="L101">IF(I101="No-Retrofit",F101,IFERROR(VLOOKUP(I101,Vstack!$A$2:$L$1000,{10,4},0),""))</f>
        <v/>
      </c>
      <c r="M101" s="193"/>
      <c r="N101" s="121"/>
      <c r="O101" s="193" t="str">
        <f t="shared" si="6"/>
        <v/>
      </c>
      <c r="P101" s="195" t="str">
        <f t="shared" si="7"/>
        <v/>
      </c>
      <c r="Q101" s="246"/>
      <c r="R101" s="229"/>
      <c r="S101" s="231"/>
      <c r="T101" s="229"/>
      <c r="U101" s="196">
        <v>100</v>
      </c>
    </row>
    <row r="102" spans="1:21" ht="15" customHeight="1">
      <c r="A102" s="190" t="str">
        <f t="shared" si="4"/>
        <v>101- -W</v>
      </c>
      <c r="B102" s="123"/>
      <c r="C102" s="125"/>
      <c r="D102" s="190" t="str" cm="1">
        <f t="array" ref="D102">IFERROR(VLOOKUP(C102,Old_Model_Registry!$B$2:$K$500,{3,10,8,9},0),"")</f>
        <v/>
      </c>
      <c r="E102" s="190"/>
      <c r="F102" s="190"/>
      <c r="G102" s="191"/>
      <c r="H102" s="192">
        <f t="shared" si="5"/>
        <v>0</v>
      </c>
      <c r="I102" s="121"/>
      <c r="J102" s="193" t="str" cm="1">
        <f t="array" ref="J102">IF(I102="No-Retrofit",F102,IFERROR(VLOOKUP(I102,Vstack!$A$2:$L$1000,{8},0),""))</f>
        <v/>
      </c>
      <c r="K102" s="224" t="str" cm="1">
        <f t="array" ref="K102">IF(I102="No-Retrofit",F102,IFERROR(VLOOKUP(I102,Vstack!$A$2:$L$1000,{9},0)*N102,""))</f>
        <v/>
      </c>
      <c r="L102" s="193" t="str" cm="1">
        <f t="array" ref="L102">IF(I102="No-Retrofit",F102,IFERROR(VLOOKUP(I102,Vstack!$A$2:$L$1000,{10,4},0),""))</f>
        <v/>
      </c>
      <c r="M102" s="193"/>
      <c r="N102" s="121"/>
      <c r="O102" s="193" t="str">
        <f t="shared" si="6"/>
        <v/>
      </c>
      <c r="P102" s="195" t="str">
        <f t="shared" si="7"/>
        <v/>
      </c>
      <c r="Q102" s="246"/>
      <c r="R102" s="229"/>
      <c r="S102" s="231"/>
      <c r="T102" s="229"/>
      <c r="U102" s="196">
        <v>101</v>
      </c>
    </row>
    <row r="103" spans="1:21" ht="15" customHeight="1">
      <c r="A103" s="190" t="str">
        <f t="shared" si="4"/>
        <v>102- -W</v>
      </c>
      <c r="B103" s="123"/>
      <c r="C103" s="125"/>
      <c r="D103" s="190" t="str" cm="1">
        <f t="array" ref="D103">IFERROR(VLOOKUP(C103,Old_Model_Registry!$B$2:$K$500,{3,10,8,9},0),"")</f>
        <v/>
      </c>
      <c r="E103" s="190"/>
      <c r="F103" s="190"/>
      <c r="G103" s="191"/>
      <c r="H103" s="192">
        <f t="shared" si="5"/>
        <v>0</v>
      </c>
      <c r="I103" s="121"/>
      <c r="J103" s="193" t="str" cm="1">
        <f t="array" ref="J103">IF(I103="No-Retrofit",F103,IFERROR(VLOOKUP(I103,Vstack!$A$2:$L$1000,{8},0),""))</f>
        <v/>
      </c>
      <c r="K103" s="224" t="str" cm="1">
        <f t="array" ref="K103">IF(I103="No-Retrofit",F103,IFERROR(VLOOKUP(I103,Vstack!$A$2:$L$1000,{9},0)*N103,""))</f>
        <v/>
      </c>
      <c r="L103" s="193" t="str" cm="1">
        <f t="array" ref="L103">IF(I103="No-Retrofit",F103,IFERROR(VLOOKUP(I103,Vstack!$A$2:$L$1000,{10,4},0),""))</f>
        <v/>
      </c>
      <c r="M103" s="193"/>
      <c r="N103" s="121"/>
      <c r="O103" s="193" t="str">
        <f t="shared" si="6"/>
        <v/>
      </c>
      <c r="P103" s="195" t="str">
        <f t="shared" si="7"/>
        <v/>
      </c>
      <c r="Q103" s="246"/>
      <c r="R103" s="229"/>
      <c r="S103" s="231"/>
      <c r="T103" s="229"/>
      <c r="U103" s="196">
        <v>102</v>
      </c>
    </row>
    <row r="104" spans="1:21" ht="15" customHeight="1">
      <c r="A104" s="190" t="str">
        <f t="shared" si="4"/>
        <v>103- -W</v>
      </c>
      <c r="B104" s="123"/>
      <c r="C104" s="125"/>
      <c r="D104" s="190" t="str" cm="1">
        <f t="array" ref="D104">IFERROR(VLOOKUP(C104,Old_Model_Registry!$B$2:$K$500,{3,10,8,9},0),"")</f>
        <v/>
      </c>
      <c r="E104" s="190"/>
      <c r="F104" s="190"/>
      <c r="G104" s="191"/>
      <c r="H104" s="192">
        <f t="shared" si="5"/>
        <v>0</v>
      </c>
      <c r="I104" s="121"/>
      <c r="J104" s="193" t="str" cm="1">
        <f t="array" ref="J104">IF(I104="No-Retrofit",F104,IFERROR(VLOOKUP(I104,Vstack!$A$2:$L$1000,{8},0),""))</f>
        <v/>
      </c>
      <c r="K104" s="224" t="str" cm="1">
        <f t="array" ref="K104">IF(I104="No-Retrofit",F104,IFERROR(VLOOKUP(I104,Vstack!$A$2:$L$1000,{9},0)*N104,""))</f>
        <v/>
      </c>
      <c r="L104" s="193" t="str" cm="1">
        <f t="array" ref="L104">IF(I104="No-Retrofit",F104,IFERROR(VLOOKUP(I104,Vstack!$A$2:$L$1000,{10,4},0),""))</f>
        <v/>
      </c>
      <c r="M104" s="193"/>
      <c r="N104" s="121"/>
      <c r="O104" s="193" t="str">
        <f t="shared" si="6"/>
        <v/>
      </c>
      <c r="P104" s="195" t="str">
        <f t="shared" si="7"/>
        <v/>
      </c>
      <c r="Q104" s="246"/>
      <c r="R104" s="229"/>
      <c r="S104" s="231"/>
      <c r="T104" s="229"/>
      <c r="U104" s="196">
        <v>103</v>
      </c>
    </row>
    <row r="105" spans="1:21" ht="15" customHeight="1">
      <c r="A105" s="190" t="str">
        <f t="shared" si="4"/>
        <v>104- -W</v>
      </c>
      <c r="B105" s="123"/>
      <c r="C105" s="125"/>
      <c r="D105" s="190" t="str" cm="1">
        <f t="array" ref="D105">IFERROR(VLOOKUP(C105,Old_Model_Registry!$B$2:$K$500,{3,10,8,9},0),"")</f>
        <v/>
      </c>
      <c r="E105" s="190"/>
      <c r="F105" s="190"/>
      <c r="G105" s="191"/>
      <c r="H105" s="192">
        <f t="shared" si="5"/>
        <v>0</v>
      </c>
      <c r="I105" s="121"/>
      <c r="J105" s="193" t="str" cm="1">
        <f t="array" ref="J105">IF(I105="No-Retrofit",F105,IFERROR(VLOOKUP(I105,Vstack!$A$2:$L$1000,{8},0),""))</f>
        <v/>
      </c>
      <c r="K105" s="224" t="str" cm="1">
        <f t="array" ref="K105">IF(I105="No-Retrofit",F105,IFERROR(VLOOKUP(I105,Vstack!$A$2:$L$1000,{9},0)*N105,""))</f>
        <v/>
      </c>
      <c r="L105" s="193" t="str" cm="1">
        <f t="array" ref="L105">IF(I105="No-Retrofit",F105,IFERROR(VLOOKUP(I105,Vstack!$A$2:$L$1000,{10,4},0),""))</f>
        <v/>
      </c>
      <c r="M105" s="193"/>
      <c r="N105" s="121"/>
      <c r="O105" s="193" t="str">
        <f t="shared" si="6"/>
        <v/>
      </c>
      <c r="P105" s="195" t="str">
        <f t="shared" si="7"/>
        <v/>
      </c>
      <c r="Q105" s="246"/>
      <c r="R105" s="229"/>
      <c r="S105" s="231"/>
      <c r="T105" s="229"/>
      <c r="U105" s="196">
        <v>104</v>
      </c>
    </row>
    <row r="106" spans="1:21" ht="15" customHeight="1">
      <c r="A106" s="190" t="str">
        <f t="shared" si="4"/>
        <v>105- -W</v>
      </c>
      <c r="B106" s="123"/>
      <c r="C106" s="125"/>
      <c r="D106" s="190" t="str" cm="1">
        <f t="array" ref="D106">IFERROR(VLOOKUP(C106,Old_Model_Registry!$B$2:$K$500,{3,10,8,9},0),"")</f>
        <v/>
      </c>
      <c r="E106" s="190"/>
      <c r="F106" s="190"/>
      <c r="G106" s="191"/>
      <c r="H106" s="192">
        <f t="shared" si="5"/>
        <v>0</v>
      </c>
      <c r="I106" s="121"/>
      <c r="J106" s="193" t="str" cm="1">
        <f t="array" ref="J106">IF(I106="No-Retrofit",F106,IFERROR(VLOOKUP(I106,Vstack!$A$2:$L$1000,{8},0),""))</f>
        <v/>
      </c>
      <c r="K106" s="224" t="str" cm="1">
        <f t="array" ref="K106">IF(I106="No-Retrofit",F106,IFERROR(VLOOKUP(I106,Vstack!$A$2:$L$1000,{9},0)*N106,""))</f>
        <v/>
      </c>
      <c r="L106" s="193" t="str" cm="1">
        <f t="array" ref="L106">IF(I106="No-Retrofit",F106,IFERROR(VLOOKUP(I106,Vstack!$A$2:$L$1000,{10,4},0),""))</f>
        <v/>
      </c>
      <c r="M106" s="193"/>
      <c r="N106" s="121"/>
      <c r="O106" s="193" t="str">
        <f t="shared" si="6"/>
        <v/>
      </c>
      <c r="P106" s="195" t="str">
        <f t="shared" si="7"/>
        <v/>
      </c>
      <c r="Q106" s="246"/>
      <c r="R106" s="229"/>
      <c r="S106" s="231"/>
      <c r="T106" s="229"/>
      <c r="U106" s="196">
        <v>105</v>
      </c>
    </row>
    <row r="107" spans="1:21" ht="15" customHeight="1">
      <c r="A107" s="190" t="str">
        <f t="shared" si="4"/>
        <v>106- -W</v>
      </c>
      <c r="B107" s="123"/>
      <c r="C107" s="125"/>
      <c r="D107" s="190" t="str" cm="1">
        <f t="array" ref="D107">IFERROR(VLOOKUP(C107,Old_Model_Registry!$B$2:$K$500,{3,10,8,9},0),"")</f>
        <v/>
      </c>
      <c r="E107" s="190"/>
      <c r="F107" s="190"/>
      <c r="G107" s="191"/>
      <c r="H107" s="192">
        <f t="shared" si="5"/>
        <v>0</v>
      </c>
      <c r="I107" s="121"/>
      <c r="J107" s="193" t="str" cm="1">
        <f t="array" ref="J107">IF(I107="No-Retrofit",F107,IFERROR(VLOOKUP(I107,Vstack!$A$2:$L$1000,{8},0),""))</f>
        <v/>
      </c>
      <c r="K107" s="224" t="str" cm="1">
        <f t="array" ref="K107">IF(I107="No-Retrofit",F107,IFERROR(VLOOKUP(I107,Vstack!$A$2:$L$1000,{9},0)*N107,""))</f>
        <v/>
      </c>
      <c r="L107" s="193" t="str" cm="1">
        <f t="array" ref="L107">IF(I107="No-Retrofit",F107,IFERROR(VLOOKUP(I107,Vstack!$A$2:$L$1000,{10,4},0),""))</f>
        <v/>
      </c>
      <c r="M107" s="193"/>
      <c r="N107" s="121"/>
      <c r="O107" s="193" t="str">
        <f t="shared" si="6"/>
        <v/>
      </c>
      <c r="P107" s="195" t="str">
        <f t="shared" si="7"/>
        <v/>
      </c>
      <c r="Q107" s="246"/>
      <c r="R107" s="229"/>
      <c r="S107" s="245"/>
      <c r="T107" s="229"/>
      <c r="U107" s="196">
        <v>106</v>
      </c>
    </row>
    <row r="108" spans="1:21" ht="15" customHeight="1">
      <c r="A108" s="190" t="str">
        <f t="shared" si="4"/>
        <v>107- -W</v>
      </c>
      <c r="B108" s="123"/>
      <c r="C108" s="125"/>
      <c r="D108" s="190" t="str" cm="1">
        <f t="array" ref="D108">IFERROR(VLOOKUP(C108,Old_Model_Registry!$B$2:$K$500,{3,10,8,9},0),"")</f>
        <v/>
      </c>
      <c r="E108" s="190"/>
      <c r="F108" s="190"/>
      <c r="G108" s="191"/>
      <c r="H108" s="192">
        <f t="shared" si="5"/>
        <v>0</v>
      </c>
      <c r="I108" s="121"/>
      <c r="J108" s="193" t="str" cm="1">
        <f t="array" ref="J108">IF(I108="No-Retrofit",F108,IFERROR(VLOOKUP(I108,Vstack!$A$2:$L$1000,{8},0),""))</f>
        <v/>
      </c>
      <c r="K108" s="224" t="str" cm="1">
        <f t="array" ref="K108">IF(I108="No-Retrofit",F108,IFERROR(VLOOKUP(I108,Vstack!$A$2:$L$1000,{9},0)*N108,""))</f>
        <v/>
      </c>
      <c r="L108" s="193" t="str" cm="1">
        <f t="array" ref="L108">IF(I108="No-Retrofit",F108,IFERROR(VLOOKUP(I108,Vstack!$A$2:$L$1000,{10,4},0),""))</f>
        <v/>
      </c>
      <c r="M108" s="193"/>
      <c r="N108" s="121"/>
      <c r="O108" s="193" t="str">
        <f t="shared" si="6"/>
        <v/>
      </c>
      <c r="P108" s="195" t="str">
        <f t="shared" si="7"/>
        <v/>
      </c>
      <c r="Q108" s="246"/>
      <c r="R108" s="229"/>
      <c r="S108" s="245"/>
      <c r="T108" s="229"/>
      <c r="U108" s="196">
        <v>107</v>
      </c>
    </row>
    <row r="109" spans="1:21" ht="15" customHeight="1">
      <c r="A109" s="190" t="str">
        <f t="shared" si="4"/>
        <v>108- -W</v>
      </c>
      <c r="B109" s="123"/>
      <c r="C109" s="125"/>
      <c r="D109" s="190" t="str" cm="1">
        <f t="array" ref="D109">IFERROR(VLOOKUP(C109,Old_Model_Registry!$B$2:$K$500,{3,10,8,9},0),"")</f>
        <v/>
      </c>
      <c r="E109" s="190"/>
      <c r="F109" s="190"/>
      <c r="G109" s="191"/>
      <c r="H109" s="192">
        <f t="shared" si="5"/>
        <v>0</v>
      </c>
      <c r="I109" s="121"/>
      <c r="J109" s="193" t="str" cm="1">
        <f t="array" ref="J109">IF(I109="No-Retrofit",F109,IFERROR(VLOOKUP(I109,Vstack!$A$2:$L$1000,{8},0),""))</f>
        <v/>
      </c>
      <c r="K109" s="224" t="str" cm="1">
        <f t="array" ref="K109">IF(I109="No-Retrofit",F109,IFERROR(VLOOKUP(I109,Vstack!$A$2:$L$1000,{9},0)*N109,""))</f>
        <v/>
      </c>
      <c r="L109" s="193" t="str" cm="1">
        <f t="array" ref="L109">IF(I109="No-Retrofit",F109,IFERROR(VLOOKUP(I109,Vstack!$A$2:$L$1000,{10,4},0),""))</f>
        <v/>
      </c>
      <c r="M109" s="193"/>
      <c r="N109" s="121"/>
      <c r="O109" s="193" t="str">
        <f t="shared" si="6"/>
        <v/>
      </c>
      <c r="P109" s="195" t="str">
        <f t="shared" si="7"/>
        <v/>
      </c>
      <c r="Q109" s="246"/>
      <c r="R109" s="229"/>
      <c r="S109" s="245"/>
      <c r="T109" s="229"/>
      <c r="U109" s="196">
        <v>108</v>
      </c>
    </row>
    <row r="110" spans="1:21" ht="15" customHeight="1">
      <c r="A110" s="190" t="str">
        <f t="shared" si="4"/>
        <v>109- -W</v>
      </c>
      <c r="B110" s="123"/>
      <c r="C110" s="125"/>
      <c r="D110" s="190" t="str" cm="1">
        <f t="array" ref="D110">IFERROR(VLOOKUP(C110,Old_Model_Registry!$B$2:$K$500,{3,10,8,9},0),"")</f>
        <v/>
      </c>
      <c r="E110" s="190"/>
      <c r="F110" s="190"/>
      <c r="G110" s="191"/>
      <c r="H110" s="192">
        <f t="shared" si="5"/>
        <v>0</v>
      </c>
      <c r="I110" s="121"/>
      <c r="J110" s="193" t="str" cm="1">
        <f t="array" ref="J110">IF(I110="No-Retrofit",F110,IFERROR(VLOOKUP(I110,Vstack!$A$2:$L$1000,{8},0),""))</f>
        <v/>
      </c>
      <c r="K110" s="224" t="str" cm="1">
        <f t="array" ref="K110">IF(I110="No-Retrofit",F110,IFERROR(VLOOKUP(I110,Vstack!$A$2:$L$1000,{9},0)*N110,""))</f>
        <v/>
      </c>
      <c r="L110" s="193" t="str" cm="1">
        <f t="array" ref="L110">IF(I110="No-Retrofit",F110,IFERROR(VLOOKUP(I110,Vstack!$A$2:$L$1000,{10,4},0),""))</f>
        <v/>
      </c>
      <c r="M110" s="193"/>
      <c r="N110" s="121"/>
      <c r="O110" s="193" t="str">
        <f t="shared" si="6"/>
        <v/>
      </c>
      <c r="P110" s="195" t="str">
        <f t="shared" si="7"/>
        <v/>
      </c>
      <c r="Q110" s="246"/>
      <c r="R110" s="229"/>
      <c r="S110" s="231"/>
      <c r="T110" s="229"/>
      <c r="U110" s="196">
        <v>109</v>
      </c>
    </row>
    <row r="111" spans="1:21" ht="15" customHeight="1">
      <c r="A111" s="190" t="str">
        <f t="shared" si="4"/>
        <v>110- -W</v>
      </c>
      <c r="B111" s="123"/>
      <c r="C111" s="125"/>
      <c r="D111" s="190" t="str" cm="1">
        <f t="array" ref="D111">IFERROR(VLOOKUP(C111,Old_Model_Registry!$B$2:$K$500,{3,10,8,9},0),"")</f>
        <v/>
      </c>
      <c r="E111" s="190"/>
      <c r="F111" s="190"/>
      <c r="G111" s="191"/>
      <c r="H111" s="192">
        <f t="shared" si="5"/>
        <v>0</v>
      </c>
      <c r="I111" s="121"/>
      <c r="J111" s="193" t="str" cm="1">
        <f t="array" ref="J111">IF(I111="No-Retrofit",F111,IFERROR(VLOOKUP(I111,Vstack!$A$2:$L$1000,{8},0),""))</f>
        <v/>
      </c>
      <c r="K111" s="224" t="str" cm="1">
        <f t="array" ref="K111">IF(I111="No-Retrofit",F111,IFERROR(VLOOKUP(I111,Vstack!$A$2:$L$1000,{9},0)*N111,""))</f>
        <v/>
      </c>
      <c r="L111" s="193" t="str" cm="1">
        <f t="array" ref="L111">IF(I111="No-Retrofit",F111,IFERROR(VLOOKUP(I111,Vstack!$A$2:$L$1000,{10,4},0),""))</f>
        <v/>
      </c>
      <c r="M111" s="193"/>
      <c r="N111" s="121"/>
      <c r="O111" s="193" t="str">
        <f t="shared" si="6"/>
        <v/>
      </c>
      <c r="P111" s="195" t="str">
        <f t="shared" si="7"/>
        <v/>
      </c>
      <c r="Q111" s="246"/>
      <c r="R111" s="229"/>
      <c r="S111" s="245"/>
      <c r="T111" s="229"/>
      <c r="U111" s="196">
        <v>110</v>
      </c>
    </row>
    <row r="112" spans="1:21" ht="15" customHeight="1">
      <c r="A112" s="190" t="str">
        <f t="shared" si="4"/>
        <v>111- -W</v>
      </c>
      <c r="B112" s="123"/>
      <c r="C112" s="125"/>
      <c r="D112" s="190" t="str" cm="1">
        <f t="array" ref="D112">IFERROR(VLOOKUP(C112,Old_Model_Registry!$B$2:$K$500,{3,10,8,9},0),"")</f>
        <v/>
      </c>
      <c r="E112" s="190"/>
      <c r="F112" s="190"/>
      <c r="G112" s="191"/>
      <c r="H112" s="192">
        <f t="shared" si="5"/>
        <v>0</v>
      </c>
      <c r="I112" s="121"/>
      <c r="J112" s="193" t="str" cm="1">
        <f t="array" ref="J112">IF(I112="No-Retrofit",F112,IFERROR(VLOOKUP(I112,Vstack!$A$2:$L$1000,{8},0),""))</f>
        <v/>
      </c>
      <c r="K112" s="224" t="str" cm="1">
        <f t="array" ref="K112">IF(I112="No-Retrofit",F112,IFERROR(VLOOKUP(I112,Vstack!$A$2:$L$1000,{9},0)*N112,""))</f>
        <v/>
      </c>
      <c r="L112" s="193" t="str" cm="1">
        <f t="array" ref="L112">IF(I112="No-Retrofit",F112,IFERROR(VLOOKUP(I112,Vstack!$A$2:$L$1000,{10,4},0),""))</f>
        <v/>
      </c>
      <c r="M112" s="193"/>
      <c r="N112" s="121"/>
      <c r="O112" s="193" t="str">
        <f t="shared" si="6"/>
        <v/>
      </c>
      <c r="P112" s="195" t="str">
        <f t="shared" si="7"/>
        <v/>
      </c>
      <c r="Q112" s="246"/>
      <c r="R112" s="229"/>
      <c r="S112" s="245"/>
      <c r="T112" s="229"/>
      <c r="U112" s="196">
        <v>111</v>
      </c>
    </row>
    <row r="113" spans="1:21" ht="15" customHeight="1">
      <c r="A113" s="190" t="str">
        <f t="shared" si="4"/>
        <v>112- -W</v>
      </c>
      <c r="B113" s="123"/>
      <c r="C113" s="125"/>
      <c r="D113" s="190" t="str" cm="1">
        <f t="array" ref="D113">IFERROR(VLOOKUP(C113,Old_Model_Registry!$B$2:$K$500,{3,10,8,9},0),"")</f>
        <v/>
      </c>
      <c r="E113" s="190"/>
      <c r="F113" s="190"/>
      <c r="G113" s="191"/>
      <c r="H113" s="192">
        <f t="shared" si="5"/>
        <v>0</v>
      </c>
      <c r="I113" s="121"/>
      <c r="J113" s="193" t="str" cm="1">
        <f t="array" ref="J113">IF(I113="No-Retrofit",F113,IFERROR(VLOOKUP(I113,Vstack!$A$2:$L$1000,{8},0),""))</f>
        <v/>
      </c>
      <c r="K113" s="224" t="str" cm="1">
        <f t="array" ref="K113">IF(I113="No-Retrofit",F113,IFERROR(VLOOKUP(I113,Vstack!$A$2:$L$1000,{9},0)*N113,""))</f>
        <v/>
      </c>
      <c r="L113" s="193" t="str" cm="1">
        <f t="array" ref="L113">IF(I113="No-Retrofit",F113,IFERROR(VLOOKUP(I113,Vstack!$A$2:$L$1000,{10,4},0),""))</f>
        <v/>
      </c>
      <c r="M113" s="193"/>
      <c r="N113" s="121"/>
      <c r="O113" s="193" t="str">
        <f t="shared" si="6"/>
        <v/>
      </c>
      <c r="P113" s="195" t="str">
        <f t="shared" si="7"/>
        <v/>
      </c>
      <c r="Q113" s="246"/>
      <c r="R113" s="229"/>
      <c r="S113" s="245"/>
      <c r="T113" s="229"/>
      <c r="U113" s="196">
        <v>112</v>
      </c>
    </row>
    <row r="114" spans="1:21" ht="15" customHeight="1">
      <c r="A114" s="190" t="str">
        <f t="shared" si="4"/>
        <v>113- -W</v>
      </c>
      <c r="B114" s="123"/>
      <c r="C114" s="125"/>
      <c r="D114" s="190" t="str" cm="1">
        <f t="array" ref="D114">IFERROR(VLOOKUP(C114,Old_Model_Registry!$B$2:$K$500,{3,10,8,9},0),"")</f>
        <v/>
      </c>
      <c r="E114" s="190"/>
      <c r="F114" s="190"/>
      <c r="G114" s="191"/>
      <c r="H114" s="192">
        <f t="shared" si="5"/>
        <v>0</v>
      </c>
      <c r="I114" s="121"/>
      <c r="J114" s="193" t="str" cm="1">
        <f t="array" ref="J114">IF(I114="No-Retrofit",F114,IFERROR(VLOOKUP(I114,Vstack!$A$2:$L$1000,{8},0),""))</f>
        <v/>
      </c>
      <c r="K114" s="224" t="str" cm="1">
        <f t="array" ref="K114">IF(I114="No-Retrofit",F114,IFERROR(VLOOKUP(I114,Vstack!$A$2:$L$1000,{9},0)*N114,""))</f>
        <v/>
      </c>
      <c r="L114" s="193" t="str" cm="1">
        <f t="array" ref="L114">IF(I114="No-Retrofit",F114,IFERROR(VLOOKUP(I114,Vstack!$A$2:$L$1000,{10,4},0),""))</f>
        <v/>
      </c>
      <c r="M114" s="193"/>
      <c r="N114" s="121"/>
      <c r="O114" s="193" t="str">
        <f t="shared" si="6"/>
        <v/>
      </c>
      <c r="P114" s="195" t="str">
        <f t="shared" si="7"/>
        <v/>
      </c>
      <c r="Q114" s="246"/>
      <c r="R114" s="229"/>
      <c r="S114" s="231"/>
      <c r="T114" s="229"/>
      <c r="U114" s="196">
        <v>113</v>
      </c>
    </row>
    <row r="115" spans="1:21" ht="15" customHeight="1">
      <c r="A115" s="190" t="str">
        <f t="shared" si="4"/>
        <v>114- -W</v>
      </c>
      <c r="B115" s="123"/>
      <c r="C115" s="125"/>
      <c r="D115" s="190" t="str" cm="1">
        <f t="array" ref="D115">IFERROR(VLOOKUP(C115,Old_Model_Registry!$B$2:$K$500,{3,10,8,9},0),"")</f>
        <v/>
      </c>
      <c r="E115" s="190"/>
      <c r="F115" s="190"/>
      <c r="G115" s="191"/>
      <c r="H115" s="192">
        <f t="shared" si="5"/>
        <v>0</v>
      </c>
      <c r="I115" s="121"/>
      <c r="J115" s="193" t="str" cm="1">
        <f t="array" ref="J115">IF(I115="No-Retrofit",F115,IFERROR(VLOOKUP(I115,Vstack!$A$2:$L$1000,{8},0),""))</f>
        <v/>
      </c>
      <c r="K115" s="224" t="str" cm="1">
        <f t="array" ref="K115">IF(I115="No-Retrofit",F115,IFERROR(VLOOKUP(I115,Vstack!$A$2:$L$1000,{9},0)*N115,""))</f>
        <v/>
      </c>
      <c r="L115" s="193" t="str" cm="1">
        <f t="array" ref="L115">IF(I115="No-Retrofit",F115,IFERROR(VLOOKUP(I115,Vstack!$A$2:$L$1000,{10,4},0),""))</f>
        <v/>
      </c>
      <c r="M115" s="193"/>
      <c r="N115" s="121"/>
      <c r="O115" s="193" t="str">
        <f t="shared" si="6"/>
        <v/>
      </c>
      <c r="P115" s="195" t="str">
        <f t="shared" si="7"/>
        <v/>
      </c>
      <c r="Q115" s="246"/>
      <c r="R115" s="229"/>
      <c r="S115" s="231"/>
      <c r="T115" s="229"/>
      <c r="U115" s="196">
        <v>114</v>
      </c>
    </row>
    <row r="116" spans="1:21" ht="15" customHeight="1">
      <c r="A116" s="190" t="str">
        <f t="shared" si="4"/>
        <v>115- -W</v>
      </c>
      <c r="B116" s="123"/>
      <c r="C116" s="125"/>
      <c r="D116" s="190" t="str" cm="1">
        <f t="array" ref="D116">IFERROR(VLOOKUP(C116,Old_Model_Registry!$B$2:$K$500,{3,10,8,9},0),"")</f>
        <v/>
      </c>
      <c r="E116" s="190"/>
      <c r="F116" s="190"/>
      <c r="G116" s="191"/>
      <c r="H116" s="192">
        <f t="shared" si="5"/>
        <v>0</v>
      </c>
      <c r="I116" s="121"/>
      <c r="J116" s="193" t="str" cm="1">
        <f t="array" ref="J116">IF(I116="No-Retrofit",F116,IFERROR(VLOOKUP(I116,Vstack!$A$2:$L$1000,{8},0),""))</f>
        <v/>
      </c>
      <c r="K116" s="224" t="str" cm="1">
        <f t="array" ref="K116">IF(I116="No-Retrofit",F116,IFERROR(VLOOKUP(I116,Vstack!$A$2:$L$1000,{9},0)*N116,""))</f>
        <v/>
      </c>
      <c r="L116" s="193" t="str" cm="1">
        <f t="array" ref="L116">IF(I116="No-Retrofit",F116,IFERROR(VLOOKUP(I116,Vstack!$A$2:$L$1000,{10,4},0),""))</f>
        <v/>
      </c>
      <c r="M116" s="193"/>
      <c r="N116" s="121"/>
      <c r="O116" s="193" t="str">
        <f t="shared" si="6"/>
        <v/>
      </c>
      <c r="P116" s="195" t="str">
        <f t="shared" si="7"/>
        <v/>
      </c>
      <c r="Q116" s="246"/>
      <c r="R116" s="229"/>
      <c r="S116" s="231"/>
      <c r="T116" s="229"/>
      <c r="U116" s="196">
        <v>115</v>
      </c>
    </row>
    <row r="117" spans="1:21" ht="15" customHeight="1">
      <c r="A117" s="190" t="str">
        <f t="shared" si="4"/>
        <v>116- -W</v>
      </c>
      <c r="B117" s="123"/>
      <c r="C117" s="125"/>
      <c r="D117" s="190" t="str" cm="1">
        <f t="array" ref="D117">IFERROR(VLOOKUP(C117,Old_Model_Registry!$B$2:$K$500,{3,10,8,9},0),"")</f>
        <v/>
      </c>
      <c r="E117" s="190"/>
      <c r="F117" s="190"/>
      <c r="G117" s="191"/>
      <c r="H117" s="192">
        <f t="shared" si="5"/>
        <v>0</v>
      </c>
      <c r="I117" s="121"/>
      <c r="J117" s="193" t="str" cm="1">
        <f t="array" ref="J117">IF(I117="No-Retrofit",F117,IFERROR(VLOOKUP(I117,Vstack!$A$2:$L$1000,{8},0),""))</f>
        <v/>
      </c>
      <c r="K117" s="224" t="str" cm="1">
        <f t="array" ref="K117">IF(I117="No-Retrofit",F117,IFERROR(VLOOKUP(I117,Vstack!$A$2:$L$1000,{9},0)*N117,""))</f>
        <v/>
      </c>
      <c r="L117" s="193" t="str" cm="1">
        <f t="array" ref="L117">IF(I117="No-Retrofit",F117,IFERROR(VLOOKUP(I117,Vstack!$A$2:$L$1000,{10,4},0),""))</f>
        <v/>
      </c>
      <c r="M117" s="193"/>
      <c r="N117" s="121"/>
      <c r="O117" s="193" t="str">
        <f t="shared" si="6"/>
        <v/>
      </c>
      <c r="P117" s="195" t="str">
        <f t="shared" si="7"/>
        <v/>
      </c>
      <c r="Q117" s="246"/>
      <c r="R117" s="229"/>
      <c r="S117" s="231"/>
      <c r="T117" s="229"/>
      <c r="U117" s="196">
        <v>116</v>
      </c>
    </row>
    <row r="118" spans="1:21" ht="15" customHeight="1">
      <c r="A118" s="190" t="str">
        <f t="shared" si="4"/>
        <v>117- -W</v>
      </c>
      <c r="B118" s="123"/>
      <c r="C118" s="125"/>
      <c r="D118" s="190" t="str" cm="1">
        <f t="array" ref="D118">IFERROR(VLOOKUP(C118,Old_Model_Registry!$B$2:$K$500,{3,10,8,9},0),"")</f>
        <v/>
      </c>
      <c r="E118" s="190"/>
      <c r="F118" s="190"/>
      <c r="G118" s="191"/>
      <c r="H118" s="192">
        <f t="shared" si="5"/>
        <v>0</v>
      </c>
      <c r="I118" s="121"/>
      <c r="J118" s="193" t="str" cm="1">
        <f t="array" ref="J118">IF(I118="No-Retrofit",F118,IFERROR(VLOOKUP(I118,Vstack!$A$2:$L$1000,{8},0),""))</f>
        <v/>
      </c>
      <c r="K118" s="224" t="str" cm="1">
        <f t="array" ref="K118">IF(I118="No-Retrofit",F118,IFERROR(VLOOKUP(I118,Vstack!$A$2:$L$1000,{9},0)*N118,""))</f>
        <v/>
      </c>
      <c r="L118" s="193" t="str" cm="1">
        <f t="array" ref="L118">IF(I118="No-Retrofit",F118,IFERROR(VLOOKUP(I118,Vstack!$A$2:$L$1000,{10,4},0),""))</f>
        <v/>
      </c>
      <c r="M118" s="193"/>
      <c r="N118" s="121"/>
      <c r="O118" s="193" t="str">
        <f t="shared" si="6"/>
        <v/>
      </c>
      <c r="P118" s="195" t="str">
        <f t="shared" si="7"/>
        <v/>
      </c>
      <c r="Q118" s="246"/>
      <c r="R118" s="229"/>
      <c r="S118" s="231"/>
      <c r="T118" s="229"/>
      <c r="U118" s="196">
        <v>117</v>
      </c>
    </row>
    <row r="119" spans="1:21" ht="15" customHeight="1">
      <c r="A119" s="190" t="str">
        <f t="shared" si="4"/>
        <v>118- -W</v>
      </c>
      <c r="B119" s="123"/>
      <c r="C119" s="125"/>
      <c r="D119" s="190" t="str" cm="1">
        <f t="array" ref="D119">IFERROR(VLOOKUP(C119,Old_Model_Registry!$B$2:$K$500,{3,10,8,9},0),"")</f>
        <v/>
      </c>
      <c r="E119" s="190"/>
      <c r="F119" s="190"/>
      <c r="G119" s="191"/>
      <c r="H119" s="192">
        <f t="shared" si="5"/>
        <v>0</v>
      </c>
      <c r="I119" s="121"/>
      <c r="J119" s="193" t="str" cm="1">
        <f t="array" ref="J119">IF(I119="No-Retrofit",F119,IFERROR(VLOOKUP(I119,Vstack!$A$2:$L$1000,{8},0),""))</f>
        <v/>
      </c>
      <c r="K119" s="224" t="str" cm="1">
        <f t="array" ref="K119">IF(I119="No-Retrofit",F119,IFERROR(VLOOKUP(I119,Vstack!$A$2:$L$1000,{9},0)*N119,""))</f>
        <v/>
      </c>
      <c r="L119" s="193" t="str" cm="1">
        <f t="array" ref="L119">IF(I119="No-Retrofit",F119,IFERROR(VLOOKUP(I119,Vstack!$A$2:$L$1000,{10,4},0),""))</f>
        <v/>
      </c>
      <c r="M119" s="193"/>
      <c r="N119" s="121"/>
      <c r="O119" s="193" t="str">
        <f t="shared" si="6"/>
        <v/>
      </c>
      <c r="P119" s="195" t="str">
        <f t="shared" si="7"/>
        <v/>
      </c>
      <c r="Q119" s="246"/>
      <c r="R119" s="229"/>
      <c r="S119" s="231"/>
      <c r="T119" s="229"/>
      <c r="U119" s="196">
        <v>118</v>
      </c>
    </row>
    <row r="120" spans="1:21" ht="15" customHeight="1">
      <c r="A120" s="190" t="str">
        <f t="shared" si="4"/>
        <v>119- -W</v>
      </c>
      <c r="B120" s="123"/>
      <c r="C120" s="125"/>
      <c r="D120" s="190" t="str" cm="1">
        <f t="array" ref="D120">IFERROR(VLOOKUP(C120,Old_Model_Registry!$B$2:$K$500,{3,10,8,9},0),"")</f>
        <v/>
      </c>
      <c r="E120" s="190"/>
      <c r="F120" s="190"/>
      <c r="G120" s="191"/>
      <c r="H120" s="192">
        <f t="shared" si="5"/>
        <v>0</v>
      </c>
      <c r="I120" s="121"/>
      <c r="J120" s="193" t="str" cm="1">
        <f t="array" ref="J120">IF(I120="No-Retrofit",F120,IFERROR(VLOOKUP(I120,Vstack!$A$2:$L$1000,{8},0),""))</f>
        <v/>
      </c>
      <c r="K120" s="224" t="str" cm="1">
        <f t="array" ref="K120">IF(I120="No-Retrofit",F120,IFERROR(VLOOKUP(I120,Vstack!$A$2:$L$1000,{9},0)*N120,""))</f>
        <v/>
      </c>
      <c r="L120" s="193" t="str" cm="1">
        <f t="array" ref="L120">IF(I120="No-Retrofit",F120,IFERROR(VLOOKUP(I120,Vstack!$A$2:$L$1000,{10,4},0),""))</f>
        <v/>
      </c>
      <c r="M120" s="193"/>
      <c r="N120" s="121"/>
      <c r="O120" s="193" t="str">
        <f t="shared" si="6"/>
        <v/>
      </c>
      <c r="P120" s="195" t="str">
        <f t="shared" si="7"/>
        <v/>
      </c>
      <c r="Q120" s="246"/>
      <c r="R120" s="229"/>
      <c r="S120" s="231"/>
      <c r="T120" s="229"/>
      <c r="U120" s="196">
        <v>119</v>
      </c>
    </row>
    <row r="121" spans="1:21" ht="15" customHeight="1">
      <c r="A121" s="190" t="str">
        <f t="shared" si="4"/>
        <v>120- -W</v>
      </c>
      <c r="B121" s="123"/>
      <c r="C121" s="125"/>
      <c r="D121" s="190" t="str" cm="1">
        <f t="array" ref="D121">IFERROR(VLOOKUP(C121,Old_Model_Registry!$B$2:$K$500,{3,10,8,9},0),"")</f>
        <v/>
      </c>
      <c r="E121" s="190"/>
      <c r="F121" s="190"/>
      <c r="G121" s="191"/>
      <c r="H121" s="192">
        <f t="shared" si="5"/>
        <v>0</v>
      </c>
      <c r="I121" s="121"/>
      <c r="J121" s="193" t="str" cm="1">
        <f t="array" ref="J121">IF(I121="No-Retrofit",F121,IFERROR(VLOOKUP(I121,Vstack!$A$2:$L$1000,{8},0),""))</f>
        <v/>
      </c>
      <c r="K121" s="224" t="str" cm="1">
        <f t="array" ref="K121">IF(I121="No-Retrofit",F121,IFERROR(VLOOKUP(I121,Vstack!$A$2:$L$1000,{9},0)*N121,""))</f>
        <v/>
      </c>
      <c r="L121" s="193" t="str" cm="1">
        <f t="array" ref="L121">IF(I121="No-Retrofit",F121,IFERROR(VLOOKUP(I121,Vstack!$A$2:$L$1000,{10,4},0),""))</f>
        <v/>
      </c>
      <c r="M121" s="193"/>
      <c r="N121" s="121"/>
      <c r="O121" s="193" t="str">
        <f t="shared" si="6"/>
        <v/>
      </c>
      <c r="P121" s="195" t="str">
        <f t="shared" si="7"/>
        <v/>
      </c>
      <c r="Q121" s="246"/>
      <c r="R121" s="229"/>
      <c r="S121" s="231"/>
      <c r="T121" s="229"/>
      <c r="U121" s="196">
        <v>120</v>
      </c>
    </row>
    <row r="122" spans="1:21" ht="15" customHeight="1">
      <c r="A122" s="190" t="str">
        <f t="shared" si="4"/>
        <v>121- -W</v>
      </c>
      <c r="B122" s="123"/>
      <c r="C122" s="125"/>
      <c r="D122" s="190" t="str" cm="1">
        <f t="array" ref="D122">IFERROR(VLOOKUP(C122,Old_Model_Registry!$B$2:$K$500,{3,10,8,9},0),"")</f>
        <v/>
      </c>
      <c r="E122" s="190"/>
      <c r="F122" s="190"/>
      <c r="G122" s="191"/>
      <c r="H122" s="192">
        <f t="shared" si="5"/>
        <v>0</v>
      </c>
      <c r="I122" s="121"/>
      <c r="J122" s="193" t="str" cm="1">
        <f t="array" ref="J122">IF(I122="No-Retrofit",F122,IFERROR(VLOOKUP(I122,Vstack!$A$2:$L$1000,{8},0),""))</f>
        <v/>
      </c>
      <c r="K122" s="224" t="str" cm="1">
        <f t="array" ref="K122">IF(I122="No-Retrofit",F122,IFERROR(VLOOKUP(I122,Vstack!$A$2:$L$1000,{9},0)*N122,""))</f>
        <v/>
      </c>
      <c r="L122" s="193" t="str" cm="1">
        <f t="array" ref="L122">IF(I122="No-Retrofit",F122,IFERROR(VLOOKUP(I122,Vstack!$A$2:$L$1000,{10,4},0),""))</f>
        <v/>
      </c>
      <c r="M122" s="193"/>
      <c r="N122" s="121"/>
      <c r="O122" s="193" t="str">
        <f t="shared" si="6"/>
        <v/>
      </c>
      <c r="P122" s="195" t="str">
        <f t="shared" si="7"/>
        <v/>
      </c>
      <c r="Q122" s="246"/>
      <c r="R122" s="229"/>
      <c r="S122" s="231"/>
      <c r="T122" s="229"/>
      <c r="U122" s="196">
        <v>121</v>
      </c>
    </row>
    <row r="123" spans="1:21" ht="15" customHeight="1">
      <c r="A123" s="190" t="str">
        <f t="shared" si="4"/>
        <v>122- -W</v>
      </c>
      <c r="B123" s="123"/>
      <c r="C123" s="125"/>
      <c r="D123" s="190" t="str" cm="1">
        <f t="array" ref="D123">IFERROR(VLOOKUP(C123,Old_Model_Registry!$B$2:$K$500,{3,10,8,9},0),"")</f>
        <v/>
      </c>
      <c r="E123" s="190"/>
      <c r="F123" s="190"/>
      <c r="G123" s="191"/>
      <c r="H123" s="192">
        <f t="shared" si="5"/>
        <v>0</v>
      </c>
      <c r="I123" s="121"/>
      <c r="J123" s="193" t="str" cm="1">
        <f t="array" ref="J123">IF(I123="No-Retrofit",F123,IFERROR(VLOOKUP(I123,Vstack!$A$2:$L$1000,{8},0),""))</f>
        <v/>
      </c>
      <c r="K123" s="224" t="str" cm="1">
        <f t="array" ref="K123">IF(I123="No-Retrofit",F123,IFERROR(VLOOKUP(I123,Vstack!$A$2:$L$1000,{9},0)*N123,""))</f>
        <v/>
      </c>
      <c r="L123" s="193" t="str" cm="1">
        <f t="array" ref="L123">IF(I123="No-Retrofit",F123,IFERROR(VLOOKUP(I123,Vstack!$A$2:$L$1000,{10,4},0),""))</f>
        <v/>
      </c>
      <c r="M123" s="193"/>
      <c r="N123" s="121"/>
      <c r="O123" s="193" t="str">
        <f t="shared" si="6"/>
        <v/>
      </c>
      <c r="P123" s="195" t="str">
        <f t="shared" si="7"/>
        <v/>
      </c>
      <c r="Q123" s="246"/>
      <c r="R123" s="229"/>
      <c r="S123" s="231"/>
      <c r="T123" s="229"/>
      <c r="U123" s="196">
        <v>122</v>
      </c>
    </row>
    <row r="124" spans="1:21" ht="15" customHeight="1">
      <c r="A124" s="190" t="str">
        <f t="shared" si="4"/>
        <v>123- -W</v>
      </c>
      <c r="B124" s="123"/>
      <c r="C124" s="125"/>
      <c r="D124" s="190" t="str" cm="1">
        <f t="array" ref="D124">IFERROR(VLOOKUP(C124,Old_Model_Registry!$B$2:$K$500,{3,10,8,9},0),"")</f>
        <v/>
      </c>
      <c r="E124" s="190"/>
      <c r="F124" s="190"/>
      <c r="G124" s="191"/>
      <c r="H124" s="192">
        <f t="shared" si="5"/>
        <v>0</v>
      </c>
      <c r="I124" s="121"/>
      <c r="J124" s="193" t="str" cm="1">
        <f t="array" ref="J124">IF(I124="No-Retrofit",F124,IFERROR(VLOOKUP(I124,Vstack!$A$2:$L$1000,{8},0),""))</f>
        <v/>
      </c>
      <c r="K124" s="224" t="str" cm="1">
        <f t="array" ref="K124">IF(I124="No-Retrofit",F124,IFERROR(VLOOKUP(I124,Vstack!$A$2:$L$1000,{9},0)*N124,""))</f>
        <v/>
      </c>
      <c r="L124" s="193" t="str" cm="1">
        <f t="array" ref="L124">IF(I124="No-Retrofit",F124,IFERROR(VLOOKUP(I124,Vstack!$A$2:$L$1000,{10,4},0),""))</f>
        <v/>
      </c>
      <c r="M124" s="193"/>
      <c r="N124" s="121"/>
      <c r="O124" s="193" t="str">
        <f t="shared" si="6"/>
        <v/>
      </c>
      <c r="P124" s="195" t="str">
        <f t="shared" si="7"/>
        <v/>
      </c>
      <c r="Q124" s="246"/>
      <c r="R124" s="229"/>
      <c r="S124" s="231"/>
      <c r="T124" s="229"/>
      <c r="U124" s="196">
        <v>123</v>
      </c>
    </row>
    <row r="125" spans="1:21" ht="15" customHeight="1">
      <c r="A125" s="190" t="str">
        <f t="shared" si="4"/>
        <v>124- -W</v>
      </c>
      <c r="B125" s="123"/>
      <c r="C125" s="125"/>
      <c r="D125" s="190" t="str" cm="1">
        <f t="array" ref="D125">IFERROR(VLOOKUP(C125,Old_Model_Registry!$B$2:$K$500,{3,10,8,9},0),"")</f>
        <v/>
      </c>
      <c r="E125" s="190"/>
      <c r="F125" s="190"/>
      <c r="G125" s="191"/>
      <c r="H125" s="192">
        <f t="shared" si="5"/>
        <v>0</v>
      </c>
      <c r="I125" s="121"/>
      <c r="J125" s="193" t="str" cm="1">
        <f t="array" ref="J125">IF(I125="No-Retrofit",F125,IFERROR(VLOOKUP(I125,Vstack!$A$2:$L$1000,{8},0),""))</f>
        <v/>
      </c>
      <c r="K125" s="224" t="str" cm="1">
        <f t="array" ref="K125">IF(I125="No-Retrofit",F125,IFERROR(VLOOKUP(I125,Vstack!$A$2:$L$1000,{9},0)*N125,""))</f>
        <v/>
      </c>
      <c r="L125" s="193" t="str" cm="1">
        <f t="array" ref="L125">IF(I125="No-Retrofit",F125,IFERROR(VLOOKUP(I125,Vstack!$A$2:$L$1000,{10,4},0),""))</f>
        <v/>
      </c>
      <c r="M125" s="193"/>
      <c r="N125" s="121"/>
      <c r="O125" s="193" t="str">
        <f t="shared" si="6"/>
        <v/>
      </c>
      <c r="P125" s="195" t="str">
        <f t="shared" si="7"/>
        <v/>
      </c>
      <c r="Q125" s="246"/>
      <c r="R125" s="229"/>
      <c r="S125" s="231"/>
      <c r="T125" s="229"/>
      <c r="U125" s="196">
        <v>124</v>
      </c>
    </row>
    <row r="126" spans="1:21" ht="15" customHeight="1">
      <c r="A126" s="190" t="str">
        <f t="shared" si="4"/>
        <v>125- -W</v>
      </c>
      <c r="B126" s="123"/>
      <c r="C126" s="125"/>
      <c r="D126" s="190" t="str" cm="1">
        <f t="array" ref="D126">IFERROR(VLOOKUP(C126,Old_Model_Registry!$B$2:$K$500,{3,10,8,9},0),"")</f>
        <v/>
      </c>
      <c r="E126" s="190"/>
      <c r="F126" s="190"/>
      <c r="G126" s="191"/>
      <c r="H126" s="192">
        <f t="shared" si="5"/>
        <v>0</v>
      </c>
      <c r="I126" s="121"/>
      <c r="J126" s="193" t="str" cm="1">
        <f t="array" ref="J126">IF(I126="No-Retrofit",F126,IFERROR(VLOOKUP(I126,Vstack!$A$2:$L$1000,{8},0),""))</f>
        <v/>
      </c>
      <c r="K126" s="224" t="str" cm="1">
        <f t="array" ref="K126">IF(I126="No-Retrofit",F126,IFERROR(VLOOKUP(I126,Vstack!$A$2:$L$1000,{9},0)*N126,""))</f>
        <v/>
      </c>
      <c r="L126" s="193" t="str" cm="1">
        <f t="array" ref="L126">IF(I126="No-Retrofit",F126,IFERROR(VLOOKUP(I126,Vstack!$A$2:$L$1000,{10,4},0),""))</f>
        <v/>
      </c>
      <c r="M126" s="193"/>
      <c r="N126" s="121"/>
      <c r="O126" s="193" t="str">
        <f t="shared" si="6"/>
        <v/>
      </c>
      <c r="P126" s="195" t="str">
        <f t="shared" si="7"/>
        <v/>
      </c>
      <c r="Q126" s="246"/>
      <c r="R126" s="229"/>
      <c r="S126" s="231"/>
      <c r="T126" s="229"/>
      <c r="U126" s="196">
        <v>125</v>
      </c>
    </row>
    <row r="127" spans="1:21" ht="15" customHeight="1">
      <c r="A127" s="190" t="str">
        <f t="shared" si="4"/>
        <v>126- -W</v>
      </c>
      <c r="B127" s="123"/>
      <c r="C127" s="125"/>
      <c r="D127" s="190" t="str" cm="1">
        <f t="array" ref="D127">IFERROR(VLOOKUP(C127,Old_Model_Registry!$B$2:$K$500,{3,10,8,9},0),"")</f>
        <v/>
      </c>
      <c r="E127" s="190"/>
      <c r="F127" s="190"/>
      <c r="G127" s="191"/>
      <c r="H127" s="192">
        <f t="shared" si="5"/>
        <v>0</v>
      </c>
      <c r="I127" s="121"/>
      <c r="J127" s="193" t="str" cm="1">
        <f t="array" ref="J127">IF(I127="No-Retrofit",F127,IFERROR(VLOOKUP(I127,Vstack!$A$2:$L$1000,{8},0),""))</f>
        <v/>
      </c>
      <c r="K127" s="224" t="str" cm="1">
        <f t="array" ref="K127">IF(I127="No-Retrofit",F127,IFERROR(VLOOKUP(I127,Vstack!$A$2:$L$1000,{9},0)*N127,""))</f>
        <v/>
      </c>
      <c r="L127" s="193" t="str" cm="1">
        <f t="array" ref="L127">IF(I127="No-Retrofit",F127,IFERROR(VLOOKUP(I127,Vstack!$A$2:$L$1000,{10,4},0),""))</f>
        <v/>
      </c>
      <c r="M127" s="193"/>
      <c r="N127" s="121"/>
      <c r="O127" s="193" t="str">
        <f t="shared" si="6"/>
        <v/>
      </c>
      <c r="P127" s="195" t="str">
        <f t="shared" si="7"/>
        <v/>
      </c>
      <c r="Q127" s="246"/>
      <c r="R127" s="229"/>
      <c r="S127" s="245"/>
      <c r="T127" s="229"/>
      <c r="U127" s="196">
        <v>126</v>
      </c>
    </row>
    <row r="128" spans="1:21" ht="15" customHeight="1">
      <c r="A128" s="190" t="str">
        <f t="shared" si="4"/>
        <v>127- -W</v>
      </c>
      <c r="B128" s="123"/>
      <c r="C128" s="125"/>
      <c r="D128" s="190" t="str" cm="1">
        <f t="array" ref="D128">IFERROR(VLOOKUP(C128,Old_Model_Registry!$B$2:$K$500,{3,10,8,9},0),"")</f>
        <v/>
      </c>
      <c r="E128" s="190"/>
      <c r="F128" s="190"/>
      <c r="G128" s="191"/>
      <c r="H128" s="192">
        <f t="shared" si="5"/>
        <v>0</v>
      </c>
      <c r="I128" s="121"/>
      <c r="J128" s="193" t="str" cm="1">
        <f t="array" ref="J128">IF(I128="No-Retrofit",F128,IFERROR(VLOOKUP(I128,Vstack!$A$2:$L$1000,{8},0),""))</f>
        <v/>
      </c>
      <c r="K128" s="224" t="str" cm="1">
        <f t="array" ref="K128">IF(I128="No-Retrofit",F128,IFERROR(VLOOKUP(I128,Vstack!$A$2:$L$1000,{9},0)*N128,""))</f>
        <v/>
      </c>
      <c r="L128" s="193" t="str" cm="1">
        <f t="array" ref="L128">IF(I128="No-Retrofit",F128,IFERROR(VLOOKUP(I128,Vstack!$A$2:$L$1000,{10,4},0),""))</f>
        <v/>
      </c>
      <c r="M128" s="193"/>
      <c r="N128" s="121"/>
      <c r="O128" s="193" t="str">
        <f t="shared" si="6"/>
        <v/>
      </c>
      <c r="P128" s="195" t="str">
        <f t="shared" si="7"/>
        <v/>
      </c>
      <c r="Q128" s="246"/>
      <c r="R128" s="229"/>
      <c r="S128" s="231"/>
      <c r="T128" s="229"/>
      <c r="U128" s="196">
        <v>127</v>
      </c>
    </row>
    <row r="129" spans="1:21" ht="15" customHeight="1">
      <c r="A129" s="190" t="str">
        <f t="shared" si="4"/>
        <v>128- -W</v>
      </c>
      <c r="B129" s="123"/>
      <c r="C129" s="125"/>
      <c r="D129" s="190" t="str" cm="1">
        <f t="array" ref="D129">IFERROR(VLOOKUP(C129,Old_Model_Registry!$B$2:$K$500,{3,10,8,9},0),"")</f>
        <v/>
      </c>
      <c r="E129" s="190"/>
      <c r="F129" s="190"/>
      <c r="G129" s="191"/>
      <c r="H129" s="192">
        <f t="shared" si="5"/>
        <v>0</v>
      </c>
      <c r="I129" s="121"/>
      <c r="J129" s="193" t="str" cm="1">
        <f t="array" ref="J129">IF(I129="No-Retrofit",F129,IFERROR(VLOOKUP(I129,Vstack!$A$2:$L$1000,{8},0),""))</f>
        <v/>
      </c>
      <c r="K129" s="224" t="str" cm="1">
        <f t="array" ref="K129">IF(I129="No-Retrofit",F129,IFERROR(VLOOKUP(I129,Vstack!$A$2:$L$1000,{9},0)*N129,""))</f>
        <v/>
      </c>
      <c r="L129" s="193" t="str" cm="1">
        <f t="array" ref="L129">IF(I129="No-Retrofit",F129,IFERROR(VLOOKUP(I129,Vstack!$A$2:$L$1000,{10,4},0),""))</f>
        <v/>
      </c>
      <c r="M129" s="193"/>
      <c r="N129" s="121"/>
      <c r="O129" s="193" t="str">
        <f t="shared" si="6"/>
        <v/>
      </c>
      <c r="P129" s="195" t="str">
        <f t="shared" si="7"/>
        <v/>
      </c>
      <c r="Q129" s="246"/>
      <c r="R129" s="229"/>
      <c r="S129" s="231"/>
      <c r="T129" s="229"/>
      <c r="U129" s="196">
        <v>128</v>
      </c>
    </row>
    <row r="130" spans="1:21" ht="15" customHeight="1">
      <c r="A130" s="190" t="str">
        <f t="shared" si="4"/>
        <v>129- -W</v>
      </c>
      <c r="B130" s="123"/>
      <c r="C130" s="125"/>
      <c r="D130" s="190" t="str" cm="1">
        <f t="array" ref="D130">IFERROR(VLOOKUP(C130,Old_Model_Registry!$B$2:$K$500,{3,10,8,9},0),"")</f>
        <v/>
      </c>
      <c r="E130" s="190"/>
      <c r="F130" s="190"/>
      <c r="G130" s="191"/>
      <c r="H130" s="192">
        <f t="shared" si="5"/>
        <v>0</v>
      </c>
      <c r="I130" s="121"/>
      <c r="J130" s="193" t="str" cm="1">
        <f t="array" ref="J130">IF(I130="No-Retrofit",F130,IFERROR(VLOOKUP(I130,Vstack!$A$2:$L$1000,{8},0),""))</f>
        <v/>
      </c>
      <c r="K130" s="224" t="str" cm="1">
        <f t="array" ref="K130">IF(I130="No-Retrofit",F130,IFERROR(VLOOKUP(I130,Vstack!$A$2:$L$1000,{9},0)*N130,""))</f>
        <v/>
      </c>
      <c r="L130" s="193" t="str" cm="1">
        <f t="array" ref="L130">IF(I130="No-Retrofit",F130,IFERROR(VLOOKUP(I130,Vstack!$A$2:$L$1000,{10,4},0),""))</f>
        <v/>
      </c>
      <c r="M130" s="193"/>
      <c r="N130" s="121"/>
      <c r="O130" s="193" t="str">
        <f t="shared" si="6"/>
        <v/>
      </c>
      <c r="P130" s="195" t="str">
        <f t="shared" si="7"/>
        <v/>
      </c>
      <c r="Q130" s="246"/>
      <c r="R130" s="229"/>
      <c r="S130" s="245"/>
      <c r="T130" s="229"/>
      <c r="U130" s="196">
        <v>129</v>
      </c>
    </row>
    <row r="131" spans="1:21" ht="15" customHeight="1">
      <c r="A131" s="190" t="str">
        <f t="shared" ref="A131:A194" si="8">U131&amp;"- "&amp;B131&amp;"-"&amp;F131&amp;"W"</f>
        <v>130- -W</v>
      </c>
      <c r="B131" s="123"/>
      <c r="C131" s="125"/>
      <c r="D131" s="190" t="str" cm="1">
        <f t="array" ref="D131">IFERROR(VLOOKUP(C131,Old_Model_Registry!$B$2:$K$500,{3,10,8,9},0),"")</f>
        <v/>
      </c>
      <c r="E131" s="190"/>
      <c r="F131" s="190"/>
      <c r="G131" s="191"/>
      <c r="H131" s="192">
        <f t="shared" ref="H131:H194" si="9">E131*F131</f>
        <v>0</v>
      </c>
      <c r="I131" s="121"/>
      <c r="J131" s="193" t="str" cm="1">
        <f t="array" ref="J131">IF(I131="No-Retrofit",F131,IFERROR(VLOOKUP(I131,Vstack!$A$2:$L$1000,{8},0),""))</f>
        <v/>
      </c>
      <c r="K131" s="224" t="str" cm="1">
        <f t="array" ref="K131">IF(I131="No-Retrofit",F131,IFERROR(VLOOKUP(I131,Vstack!$A$2:$L$1000,{9},0)*N131,""))</f>
        <v/>
      </c>
      <c r="L131" s="193" t="str" cm="1">
        <f t="array" ref="L131">IF(I131="No-Retrofit",F131,IFERROR(VLOOKUP(I131,Vstack!$A$2:$L$1000,{10,4},0),""))</f>
        <v/>
      </c>
      <c r="M131" s="193"/>
      <c r="N131" s="121"/>
      <c r="O131" s="193" t="str">
        <f t="shared" ref="O131:O194" si="10">IFERROR(N131*J131,"")</f>
        <v/>
      </c>
      <c r="P131" s="195" t="str">
        <f t="shared" ref="P131:P194" si="11">IFERROR(-(O131/H131-1),"")</f>
        <v/>
      </c>
      <c r="Q131" s="246"/>
      <c r="R131" s="229"/>
      <c r="S131" s="231"/>
      <c r="T131" s="229"/>
      <c r="U131" s="196">
        <v>130</v>
      </c>
    </row>
    <row r="132" spans="1:21" ht="15" customHeight="1">
      <c r="A132" s="190" t="str">
        <f t="shared" si="8"/>
        <v>131- -W</v>
      </c>
      <c r="B132" s="123"/>
      <c r="C132" s="125"/>
      <c r="D132" s="190" t="str" cm="1">
        <f t="array" ref="D132">IFERROR(VLOOKUP(C132,Old_Model_Registry!$B$2:$K$500,{3,10,8,9},0),"")</f>
        <v/>
      </c>
      <c r="E132" s="190"/>
      <c r="F132" s="190"/>
      <c r="G132" s="191"/>
      <c r="H132" s="192">
        <f t="shared" si="9"/>
        <v>0</v>
      </c>
      <c r="I132" s="121"/>
      <c r="J132" s="193" t="str" cm="1">
        <f t="array" ref="J132">IF(I132="No-Retrofit",F132,IFERROR(VLOOKUP(I132,Vstack!$A$2:$L$1000,{8},0),""))</f>
        <v/>
      </c>
      <c r="K132" s="224" t="str" cm="1">
        <f t="array" ref="K132">IF(I132="No-Retrofit",F132,IFERROR(VLOOKUP(I132,Vstack!$A$2:$L$1000,{9},0)*N132,""))</f>
        <v/>
      </c>
      <c r="L132" s="193" t="str" cm="1">
        <f t="array" ref="L132">IF(I132="No-Retrofit",F132,IFERROR(VLOOKUP(I132,Vstack!$A$2:$L$1000,{10,4},0),""))</f>
        <v/>
      </c>
      <c r="M132" s="193"/>
      <c r="N132" s="121"/>
      <c r="O132" s="193" t="str">
        <f t="shared" si="10"/>
        <v/>
      </c>
      <c r="P132" s="195" t="str">
        <f t="shared" si="11"/>
        <v/>
      </c>
      <c r="Q132" s="246"/>
      <c r="R132" s="229"/>
      <c r="S132" s="245"/>
      <c r="T132" s="229"/>
      <c r="U132" s="196">
        <v>131</v>
      </c>
    </row>
    <row r="133" spans="1:21" ht="15" customHeight="1">
      <c r="A133" s="190" t="str">
        <f t="shared" si="8"/>
        <v>132- -W</v>
      </c>
      <c r="B133" s="123"/>
      <c r="C133" s="125"/>
      <c r="D133" s="190" t="str" cm="1">
        <f t="array" ref="D133">IFERROR(VLOOKUP(C133,Old_Model_Registry!$B$2:$K$500,{3,10,8,9},0),"")</f>
        <v/>
      </c>
      <c r="E133" s="190"/>
      <c r="F133" s="190"/>
      <c r="G133" s="191"/>
      <c r="H133" s="192">
        <f t="shared" si="9"/>
        <v>0</v>
      </c>
      <c r="I133" s="121"/>
      <c r="J133" s="193" t="str" cm="1">
        <f t="array" ref="J133">IF(I133="No-Retrofit",F133,IFERROR(VLOOKUP(I133,Vstack!$A$2:$L$1000,{8},0),""))</f>
        <v/>
      </c>
      <c r="K133" s="224" t="str" cm="1">
        <f t="array" ref="K133">IF(I133="No-Retrofit",F133,IFERROR(VLOOKUP(I133,Vstack!$A$2:$L$1000,{9},0)*N133,""))</f>
        <v/>
      </c>
      <c r="L133" s="193" t="str" cm="1">
        <f t="array" ref="L133">IF(I133="No-Retrofit",F133,IFERROR(VLOOKUP(I133,Vstack!$A$2:$L$1000,{10,4},0),""))</f>
        <v/>
      </c>
      <c r="M133" s="193"/>
      <c r="N133" s="121"/>
      <c r="O133" s="193" t="str">
        <f t="shared" si="10"/>
        <v/>
      </c>
      <c r="P133" s="195" t="str">
        <f t="shared" si="11"/>
        <v/>
      </c>
      <c r="Q133" s="246"/>
      <c r="R133" s="229"/>
      <c r="S133" s="231"/>
      <c r="T133" s="229"/>
      <c r="U133" s="196">
        <v>132</v>
      </c>
    </row>
    <row r="134" spans="1:21" ht="15" customHeight="1">
      <c r="A134" s="190" t="str">
        <f t="shared" si="8"/>
        <v>133- -W</v>
      </c>
      <c r="B134" s="123"/>
      <c r="C134" s="125"/>
      <c r="D134" s="190" t="str" cm="1">
        <f t="array" ref="D134">IFERROR(VLOOKUP(C134,Old_Model_Registry!$B$2:$K$500,{3,10,8,9},0),"")</f>
        <v/>
      </c>
      <c r="E134" s="190"/>
      <c r="F134" s="190"/>
      <c r="G134" s="191"/>
      <c r="H134" s="192">
        <f t="shared" si="9"/>
        <v>0</v>
      </c>
      <c r="I134" s="121"/>
      <c r="J134" s="193" t="str" cm="1">
        <f t="array" ref="J134">IF(I134="No-Retrofit",F134,IFERROR(VLOOKUP(I134,Vstack!$A$2:$L$1000,{8},0),""))</f>
        <v/>
      </c>
      <c r="K134" s="224" t="str" cm="1">
        <f t="array" ref="K134">IF(I134="No-Retrofit",F134,IFERROR(VLOOKUP(I134,Vstack!$A$2:$L$1000,{9},0)*N134,""))</f>
        <v/>
      </c>
      <c r="L134" s="193" t="str" cm="1">
        <f t="array" ref="L134">IF(I134="No-Retrofit",F134,IFERROR(VLOOKUP(I134,Vstack!$A$2:$L$1000,{10,4},0),""))</f>
        <v/>
      </c>
      <c r="M134" s="193"/>
      <c r="N134" s="121"/>
      <c r="O134" s="193" t="str">
        <f t="shared" si="10"/>
        <v/>
      </c>
      <c r="P134" s="195" t="str">
        <f t="shared" si="11"/>
        <v/>
      </c>
      <c r="Q134" s="246"/>
      <c r="R134" s="229"/>
      <c r="S134" s="231"/>
      <c r="T134" s="229"/>
      <c r="U134" s="196">
        <v>133</v>
      </c>
    </row>
    <row r="135" spans="1:21" ht="15" customHeight="1">
      <c r="A135" s="190" t="str">
        <f t="shared" si="8"/>
        <v>134- -W</v>
      </c>
      <c r="B135" s="123"/>
      <c r="C135" s="125"/>
      <c r="D135" s="190" t="str" cm="1">
        <f t="array" ref="D135">IFERROR(VLOOKUP(C135,Old_Model_Registry!$B$2:$K$500,{3,10,8,9},0),"")</f>
        <v/>
      </c>
      <c r="E135" s="190"/>
      <c r="F135" s="190"/>
      <c r="G135" s="191"/>
      <c r="H135" s="192">
        <f t="shared" si="9"/>
        <v>0</v>
      </c>
      <c r="I135" s="121"/>
      <c r="J135" s="193" t="str" cm="1">
        <f t="array" ref="J135">IF(I135="No-Retrofit",F135,IFERROR(VLOOKUP(I135,Vstack!$A$2:$L$1000,{8},0),""))</f>
        <v/>
      </c>
      <c r="K135" s="224" t="str" cm="1">
        <f t="array" ref="K135">IF(I135="No-Retrofit",F135,IFERROR(VLOOKUP(I135,Vstack!$A$2:$L$1000,{9},0)*N135,""))</f>
        <v/>
      </c>
      <c r="L135" s="193" t="str" cm="1">
        <f t="array" ref="L135">IF(I135="No-Retrofit",F135,IFERROR(VLOOKUP(I135,Vstack!$A$2:$L$1000,{10,4},0),""))</f>
        <v/>
      </c>
      <c r="M135" s="193"/>
      <c r="N135" s="121"/>
      <c r="O135" s="193" t="str">
        <f t="shared" si="10"/>
        <v/>
      </c>
      <c r="P135" s="195" t="str">
        <f t="shared" si="11"/>
        <v/>
      </c>
      <c r="Q135" s="246"/>
      <c r="R135" s="229"/>
      <c r="S135" s="245"/>
      <c r="T135" s="229"/>
      <c r="U135" s="196">
        <v>134</v>
      </c>
    </row>
    <row r="136" spans="1:21" ht="15" customHeight="1">
      <c r="A136" s="190" t="str">
        <f t="shared" si="8"/>
        <v>135- -W</v>
      </c>
      <c r="B136" s="123"/>
      <c r="C136" s="125"/>
      <c r="D136" s="190" t="str" cm="1">
        <f t="array" ref="D136">IFERROR(VLOOKUP(C136,Old_Model_Registry!$B$2:$K$500,{3,10,8,9},0),"")</f>
        <v/>
      </c>
      <c r="E136" s="190"/>
      <c r="F136" s="190"/>
      <c r="G136" s="191"/>
      <c r="H136" s="192">
        <f t="shared" si="9"/>
        <v>0</v>
      </c>
      <c r="I136" s="121"/>
      <c r="J136" s="193" t="str" cm="1">
        <f t="array" ref="J136">IF(I136="No-Retrofit",F136,IFERROR(VLOOKUP(I136,Vstack!$A$2:$L$1000,{8},0),""))</f>
        <v/>
      </c>
      <c r="K136" s="224" t="str" cm="1">
        <f t="array" ref="K136">IF(I136="No-Retrofit",F136,IFERROR(VLOOKUP(I136,Vstack!$A$2:$L$1000,{9},0)*N136,""))</f>
        <v/>
      </c>
      <c r="L136" s="193" t="str" cm="1">
        <f t="array" ref="L136">IF(I136="No-Retrofit",F136,IFERROR(VLOOKUP(I136,Vstack!$A$2:$L$1000,{10,4},0),""))</f>
        <v/>
      </c>
      <c r="M136" s="193"/>
      <c r="N136" s="121"/>
      <c r="O136" s="193" t="str">
        <f t="shared" si="10"/>
        <v/>
      </c>
      <c r="P136" s="195" t="str">
        <f t="shared" si="11"/>
        <v/>
      </c>
      <c r="Q136" s="246"/>
      <c r="R136" s="229"/>
      <c r="S136" s="245"/>
      <c r="T136" s="229"/>
      <c r="U136" s="196">
        <v>135</v>
      </c>
    </row>
    <row r="137" spans="1:21" ht="15" customHeight="1">
      <c r="A137" s="190" t="str">
        <f t="shared" si="8"/>
        <v>136- -W</v>
      </c>
      <c r="B137" s="123"/>
      <c r="C137" s="125"/>
      <c r="D137" s="190" t="str" cm="1">
        <f t="array" ref="D137">IFERROR(VLOOKUP(C137,Old_Model_Registry!$B$2:$K$500,{3,10,8,9},0),"")</f>
        <v/>
      </c>
      <c r="E137" s="190"/>
      <c r="F137" s="190"/>
      <c r="G137" s="191"/>
      <c r="H137" s="192">
        <f t="shared" si="9"/>
        <v>0</v>
      </c>
      <c r="I137" s="121"/>
      <c r="J137" s="193" t="str" cm="1">
        <f t="array" ref="J137">IF(I137="No-Retrofit",F137,IFERROR(VLOOKUP(I137,Vstack!$A$2:$L$1000,{8},0),""))</f>
        <v/>
      </c>
      <c r="K137" s="224" t="str" cm="1">
        <f t="array" ref="K137">IF(I137="No-Retrofit",F137,IFERROR(VLOOKUP(I137,Vstack!$A$2:$L$1000,{9},0)*N137,""))</f>
        <v/>
      </c>
      <c r="L137" s="193" t="str" cm="1">
        <f t="array" ref="L137">IF(I137="No-Retrofit",F137,IFERROR(VLOOKUP(I137,Vstack!$A$2:$L$1000,{10,4},0),""))</f>
        <v/>
      </c>
      <c r="M137" s="193"/>
      <c r="N137" s="121"/>
      <c r="O137" s="193" t="str">
        <f t="shared" si="10"/>
        <v/>
      </c>
      <c r="P137" s="195" t="str">
        <f t="shared" si="11"/>
        <v/>
      </c>
      <c r="Q137" s="246"/>
      <c r="R137" s="229"/>
      <c r="S137" s="245"/>
      <c r="T137" s="229"/>
      <c r="U137" s="196">
        <v>136</v>
      </c>
    </row>
    <row r="138" spans="1:21" ht="15" customHeight="1">
      <c r="A138" s="190" t="str">
        <f t="shared" si="8"/>
        <v>137- -W</v>
      </c>
      <c r="B138" s="123"/>
      <c r="C138" s="125"/>
      <c r="D138" s="190" t="str" cm="1">
        <f t="array" ref="D138">IFERROR(VLOOKUP(C138,Old_Model_Registry!$B$2:$K$500,{3,10,8,9},0),"")</f>
        <v/>
      </c>
      <c r="E138" s="190"/>
      <c r="F138" s="190"/>
      <c r="G138" s="191"/>
      <c r="H138" s="192">
        <f t="shared" si="9"/>
        <v>0</v>
      </c>
      <c r="I138" s="121"/>
      <c r="J138" s="193" t="str" cm="1">
        <f t="array" ref="J138">IF(I138="No-Retrofit",F138,IFERROR(VLOOKUP(I138,Vstack!$A$2:$L$1000,{8},0),""))</f>
        <v/>
      </c>
      <c r="K138" s="224" t="str" cm="1">
        <f t="array" ref="K138">IF(I138="No-Retrofit",F138,IFERROR(VLOOKUP(I138,Vstack!$A$2:$L$1000,{9},0)*N138,""))</f>
        <v/>
      </c>
      <c r="L138" s="193" t="str" cm="1">
        <f t="array" ref="L138">IF(I138="No-Retrofit",F138,IFERROR(VLOOKUP(I138,Vstack!$A$2:$L$1000,{10,4},0),""))</f>
        <v/>
      </c>
      <c r="M138" s="193"/>
      <c r="N138" s="121"/>
      <c r="O138" s="193" t="str">
        <f t="shared" si="10"/>
        <v/>
      </c>
      <c r="P138" s="195" t="str">
        <f t="shared" si="11"/>
        <v/>
      </c>
      <c r="Q138" s="246"/>
      <c r="R138" s="229"/>
      <c r="S138" s="245"/>
      <c r="T138" s="229"/>
      <c r="U138" s="196">
        <v>137</v>
      </c>
    </row>
    <row r="139" spans="1:21" ht="15" customHeight="1">
      <c r="A139" s="190" t="str">
        <f t="shared" si="8"/>
        <v>138- -W</v>
      </c>
      <c r="B139" s="123"/>
      <c r="C139" s="125"/>
      <c r="D139" s="190" t="str" cm="1">
        <f t="array" ref="D139">IFERROR(VLOOKUP(C139,Old_Model_Registry!$B$2:$K$500,{3,10,8,9},0),"")</f>
        <v/>
      </c>
      <c r="E139" s="190"/>
      <c r="F139" s="190"/>
      <c r="G139" s="191"/>
      <c r="H139" s="192">
        <f t="shared" si="9"/>
        <v>0</v>
      </c>
      <c r="I139" s="121"/>
      <c r="J139" s="193" t="str" cm="1">
        <f t="array" ref="J139">IF(I139="No-Retrofit",F139,IFERROR(VLOOKUP(I139,Vstack!$A$2:$L$1000,{8},0),""))</f>
        <v/>
      </c>
      <c r="K139" s="224" t="str" cm="1">
        <f t="array" ref="K139">IF(I139="No-Retrofit",F139,IFERROR(VLOOKUP(I139,Vstack!$A$2:$L$1000,{9},0)*N139,""))</f>
        <v/>
      </c>
      <c r="L139" s="193" t="str" cm="1">
        <f t="array" ref="L139">IF(I139="No-Retrofit",F139,IFERROR(VLOOKUP(I139,Vstack!$A$2:$L$1000,{10,4},0),""))</f>
        <v/>
      </c>
      <c r="M139" s="193"/>
      <c r="N139" s="121"/>
      <c r="O139" s="193" t="str">
        <f t="shared" si="10"/>
        <v/>
      </c>
      <c r="P139" s="195" t="str">
        <f t="shared" si="11"/>
        <v/>
      </c>
      <c r="Q139" s="246"/>
      <c r="R139" s="229"/>
      <c r="S139" s="245"/>
      <c r="T139" s="229"/>
      <c r="U139" s="196">
        <v>138</v>
      </c>
    </row>
    <row r="140" spans="1:21" ht="15" customHeight="1">
      <c r="A140" s="190" t="str">
        <f t="shared" si="8"/>
        <v>139- -W</v>
      </c>
      <c r="B140" s="123"/>
      <c r="C140" s="125"/>
      <c r="D140" s="190" t="str" cm="1">
        <f t="array" ref="D140">IFERROR(VLOOKUP(C140,Old_Model_Registry!$B$2:$K$500,{3,10,8,9},0),"")</f>
        <v/>
      </c>
      <c r="E140" s="190"/>
      <c r="F140" s="190"/>
      <c r="G140" s="191"/>
      <c r="H140" s="192">
        <f t="shared" si="9"/>
        <v>0</v>
      </c>
      <c r="I140" s="121"/>
      <c r="J140" s="193" t="str" cm="1">
        <f t="array" ref="J140">IF(I140="No-Retrofit",F140,IFERROR(VLOOKUP(I140,Vstack!$A$2:$L$1000,{8},0),""))</f>
        <v/>
      </c>
      <c r="K140" s="224" t="str" cm="1">
        <f t="array" ref="K140">IF(I140="No-Retrofit",F140,IFERROR(VLOOKUP(I140,Vstack!$A$2:$L$1000,{9},0)*N140,""))</f>
        <v/>
      </c>
      <c r="L140" s="193" t="str" cm="1">
        <f t="array" ref="L140">IF(I140="No-Retrofit",F140,IFERROR(VLOOKUP(I140,Vstack!$A$2:$L$1000,{10,4},0),""))</f>
        <v/>
      </c>
      <c r="M140" s="193"/>
      <c r="N140" s="121"/>
      <c r="O140" s="193" t="str">
        <f t="shared" si="10"/>
        <v/>
      </c>
      <c r="P140" s="195" t="str">
        <f t="shared" si="11"/>
        <v/>
      </c>
      <c r="Q140" s="246"/>
      <c r="R140" s="229"/>
      <c r="S140" s="245"/>
      <c r="T140" s="229"/>
      <c r="U140" s="196">
        <v>139</v>
      </c>
    </row>
    <row r="141" spans="1:21" ht="15" customHeight="1">
      <c r="A141" s="190" t="str">
        <f t="shared" si="8"/>
        <v>140- -W</v>
      </c>
      <c r="B141" s="123"/>
      <c r="C141" s="125"/>
      <c r="D141" s="190" t="str" cm="1">
        <f t="array" ref="D141">IFERROR(VLOOKUP(C141,Old_Model_Registry!$B$2:$K$500,{3,10,8,9},0),"")</f>
        <v/>
      </c>
      <c r="E141" s="190"/>
      <c r="F141" s="190"/>
      <c r="G141" s="191"/>
      <c r="H141" s="192">
        <f t="shared" si="9"/>
        <v>0</v>
      </c>
      <c r="I141" s="121"/>
      <c r="J141" s="193" t="str" cm="1">
        <f t="array" ref="J141">IF(I141="No-Retrofit",F141,IFERROR(VLOOKUP(I141,Vstack!$A$2:$L$1000,{8},0),""))</f>
        <v/>
      </c>
      <c r="K141" s="224" t="str" cm="1">
        <f t="array" ref="K141">IF(I141="No-Retrofit",F141,IFERROR(VLOOKUP(I141,Vstack!$A$2:$L$1000,{9},0)*N141,""))</f>
        <v/>
      </c>
      <c r="L141" s="193" t="str" cm="1">
        <f t="array" ref="L141">IF(I141="No-Retrofit",F141,IFERROR(VLOOKUP(I141,Vstack!$A$2:$L$1000,{10,4},0),""))</f>
        <v/>
      </c>
      <c r="M141" s="193"/>
      <c r="N141" s="121"/>
      <c r="O141" s="193" t="str">
        <f t="shared" si="10"/>
        <v/>
      </c>
      <c r="P141" s="195" t="str">
        <f t="shared" si="11"/>
        <v/>
      </c>
      <c r="Q141" s="246"/>
      <c r="R141" s="229"/>
      <c r="S141" s="245"/>
      <c r="T141" s="229"/>
      <c r="U141" s="196">
        <v>140</v>
      </c>
    </row>
    <row r="142" spans="1:21" ht="15" customHeight="1">
      <c r="A142" s="190" t="str">
        <f t="shared" si="8"/>
        <v>141- -W</v>
      </c>
      <c r="B142" s="123"/>
      <c r="C142" s="125"/>
      <c r="D142" s="190" t="str" cm="1">
        <f t="array" ref="D142">IFERROR(VLOOKUP(C142,Old_Model_Registry!$B$2:$K$500,{3,10,8,9},0),"")</f>
        <v/>
      </c>
      <c r="E142" s="190"/>
      <c r="F142" s="190"/>
      <c r="G142" s="191"/>
      <c r="H142" s="192">
        <f t="shared" si="9"/>
        <v>0</v>
      </c>
      <c r="I142" s="121"/>
      <c r="J142" s="193" t="str" cm="1">
        <f t="array" ref="J142">IF(I142="No-Retrofit",F142,IFERROR(VLOOKUP(I142,Vstack!$A$2:$L$1000,{8},0),""))</f>
        <v/>
      </c>
      <c r="K142" s="224" t="str" cm="1">
        <f t="array" ref="K142">IF(I142="No-Retrofit",F142,IFERROR(VLOOKUP(I142,Vstack!$A$2:$L$1000,{9},0)*N142,""))</f>
        <v/>
      </c>
      <c r="L142" s="193" t="str" cm="1">
        <f t="array" ref="L142">IF(I142="No-Retrofit",F142,IFERROR(VLOOKUP(I142,Vstack!$A$2:$L$1000,{10,4},0),""))</f>
        <v/>
      </c>
      <c r="M142" s="193"/>
      <c r="N142" s="121"/>
      <c r="O142" s="193" t="str">
        <f t="shared" si="10"/>
        <v/>
      </c>
      <c r="P142" s="195" t="str">
        <f t="shared" si="11"/>
        <v/>
      </c>
      <c r="Q142" s="246"/>
      <c r="R142" s="229"/>
      <c r="S142" s="245"/>
      <c r="T142" s="229"/>
      <c r="U142" s="196">
        <v>141</v>
      </c>
    </row>
    <row r="143" spans="1:21" ht="15" customHeight="1">
      <c r="A143" s="190" t="str">
        <f t="shared" si="8"/>
        <v>142- -W</v>
      </c>
      <c r="B143" s="123"/>
      <c r="C143" s="125"/>
      <c r="D143" s="190" t="str" cm="1">
        <f t="array" ref="D143">IFERROR(VLOOKUP(C143,Old_Model_Registry!$B$2:$K$500,{3,10,8,9},0),"")</f>
        <v/>
      </c>
      <c r="E143" s="190"/>
      <c r="F143" s="190"/>
      <c r="G143" s="191"/>
      <c r="H143" s="192">
        <f t="shared" si="9"/>
        <v>0</v>
      </c>
      <c r="I143" s="121"/>
      <c r="J143" s="193" t="str" cm="1">
        <f t="array" ref="J143">IF(I143="No-Retrofit",F143,IFERROR(VLOOKUP(I143,Vstack!$A$2:$L$1000,{8},0),""))</f>
        <v/>
      </c>
      <c r="K143" s="224" t="str" cm="1">
        <f t="array" ref="K143">IF(I143="No-Retrofit",F143,IFERROR(VLOOKUP(I143,Vstack!$A$2:$L$1000,{9},0)*N143,""))</f>
        <v/>
      </c>
      <c r="L143" s="193" t="str" cm="1">
        <f t="array" ref="L143">IF(I143="No-Retrofit",F143,IFERROR(VLOOKUP(I143,Vstack!$A$2:$L$1000,{10,4},0),""))</f>
        <v/>
      </c>
      <c r="M143" s="193"/>
      <c r="N143" s="121"/>
      <c r="O143" s="193" t="str">
        <f t="shared" si="10"/>
        <v/>
      </c>
      <c r="P143" s="195" t="str">
        <f t="shared" si="11"/>
        <v/>
      </c>
      <c r="Q143" s="246"/>
      <c r="R143" s="229"/>
      <c r="S143" s="245"/>
      <c r="T143" s="229"/>
      <c r="U143" s="196">
        <v>142</v>
      </c>
    </row>
    <row r="144" spans="1:21" ht="15" customHeight="1">
      <c r="A144" s="190" t="str">
        <f t="shared" si="8"/>
        <v>143- -W</v>
      </c>
      <c r="B144" s="123"/>
      <c r="C144" s="125"/>
      <c r="D144" s="190" t="str" cm="1">
        <f t="array" ref="D144">IFERROR(VLOOKUP(C144,Old_Model_Registry!$B$2:$K$500,{3,10,8,9},0),"")</f>
        <v/>
      </c>
      <c r="E144" s="190"/>
      <c r="F144" s="190"/>
      <c r="G144" s="191"/>
      <c r="H144" s="192">
        <f t="shared" si="9"/>
        <v>0</v>
      </c>
      <c r="I144" s="121"/>
      <c r="J144" s="193" t="str" cm="1">
        <f t="array" ref="J144">IF(I144="No-Retrofit",F144,IFERROR(VLOOKUP(I144,Vstack!$A$2:$L$1000,{8},0),""))</f>
        <v/>
      </c>
      <c r="K144" s="224" t="str" cm="1">
        <f t="array" ref="K144">IF(I144="No-Retrofit",F144,IFERROR(VLOOKUP(I144,Vstack!$A$2:$L$1000,{9},0)*N144,""))</f>
        <v/>
      </c>
      <c r="L144" s="193" t="str" cm="1">
        <f t="array" ref="L144">IF(I144="No-Retrofit",F144,IFERROR(VLOOKUP(I144,Vstack!$A$2:$L$1000,{10,4},0),""))</f>
        <v/>
      </c>
      <c r="M144" s="193"/>
      <c r="N144" s="121"/>
      <c r="O144" s="193" t="str">
        <f t="shared" si="10"/>
        <v/>
      </c>
      <c r="P144" s="195" t="str">
        <f t="shared" si="11"/>
        <v/>
      </c>
      <c r="Q144" s="246"/>
      <c r="R144" s="229"/>
      <c r="S144" s="231"/>
      <c r="T144" s="229"/>
      <c r="U144" s="196">
        <v>143</v>
      </c>
    </row>
    <row r="145" spans="1:21" ht="15" customHeight="1">
      <c r="A145" s="190" t="str">
        <f t="shared" si="8"/>
        <v>144- -W</v>
      </c>
      <c r="B145" s="123"/>
      <c r="C145" s="125"/>
      <c r="D145" s="190" t="str" cm="1">
        <f t="array" ref="D145">IFERROR(VLOOKUP(C145,Old_Model_Registry!$B$2:$K$500,{3,10,8,9},0),"")</f>
        <v/>
      </c>
      <c r="E145" s="190"/>
      <c r="F145" s="190"/>
      <c r="G145" s="191"/>
      <c r="H145" s="192">
        <f t="shared" si="9"/>
        <v>0</v>
      </c>
      <c r="I145" s="121"/>
      <c r="J145" s="193" t="str" cm="1">
        <f t="array" ref="J145">IF(I145="No-Retrofit",F145,IFERROR(VLOOKUP(I145,Vstack!$A$2:$L$1000,{8},0),""))</f>
        <v/>
      </c>
      <c r="K145" s="224" t="str" cm="1">
        <f t="array" ref="K145">IF(I145="No-Retrofit",F145,IFERROR(VLOOKUP(I145,Vstack!$A$2:$L$1000,{9},0)*N145,""))</f>
        <v/>
      </c>
      <c r="L145" s="193" t="str" cm="1">
        <f t="array" ref="L145">IF(I145="No-Retrofit",F145,IFERROR(VLOOKUP(I145,Vstack!$A$2:$L$1000,{10,4},0),""))</f>
        <v/>
      </c>
      <c r="M145" s="193"/>
      <c r="N145" s="121"/>
      <c r="O145" s="193" t="str">
        <f t="shared" si="10"/>
        <v/>
      </c>
      <c r="P145" s="195" t="str">
        <f t="shared" si="11"/>
        <v/>
      </c>
      <c r="Q145" s="246"/>
      <c r="R145" s="229"/>
      <c r="S145" s="245"/>
      <c r="T145" s="229"/>
      <c r="U145" s="196">
        <v>144</v>
      </c>
    </row>
    <row r="146" spans="1:21" ht="15" customHeight="1">
      <c r="A146" s="190" t="str">
        <f t="shared" si="8"/>
        <v>145- -W</v>
      </c>
      <c r="B146" s="123"/>
      <c r="C146" s="125"/>
      <c r="D146" s="190" t="str" cm="1">
        <f t="array" ref="D146">IFERROR(VLOOKUP(C146,Old_Model_Registry!$B$2:$K$500,{3,10,8,9},0),"")</f>
        <v/>
      </c>
      <c r="E146" s="190"/>
      <c r="F146" s="190"/>
      <c r="G146" s="191"/>
      <c r="H146" s="192">
        <f t="shared" si="9"/>
        <v>0</v>
      </c>
      <c r="I146" s="121"/>
      <c r="J146" s="193" t="str" cm="1">
        <f t="array" ref="J146">IF(I146="No-Retrofit",F146,IFERROR(VLOOKUP(I146,Vstack!$A$2:$L$1000,{8},0),""))</f>
        <v/>
      </c>
      <c r="K146" s="224" t="str" cm="1">
        <f t="array" ref="K146">IF(I146="No-Retrofit",F146,IFERROR(VLOOKUP(I146,Vstack!$A$2:$L$1000,{9},0)*N146,""))</f>
        <v/>
      </c>
      <c r="L146" s="193" t="str" cm="1">
        <f t="array" ref="L146">IF(I146="No-Retrofit",F146,IFERROR(VLOOKUP(I146,Vstack!$A$2:$L$1000,{10,4},0),""))</f>
        <v/>
      </c>
      <c r="M146" s="193"/>
      <c r="N146" s="121"/>
      <c r="O146" s="193" t="str">
        <f t="shared" si="10"/>
        <v/>
      </c>
      <c r="P146" s="195" t="str">
        <f t="shared" si="11"/>
        <v/>
      </c>
      <c r="Q146" s="246"/>
      <c r="R146" s="229"/>
      <c r="S146" s="245"/>
      <c r="T146" s="229"/>
      <c r="U146" s="196">
        <v>145</v>
      </c>
    </row>
    <row r="147" spans="1:21" ht="15" customHeight="1">
      <c r="A147" s="190" t="str">
        <f t="shared" si="8"/>
        <v>146- -W</v>
      </c>
      <c r="B147" s="123"/>
      <c r="C147" s="125"/>
      <c r="D147" s="190" t="str" cm="1">
        <f t="array" ref="D147">IFERROR(VLOOKUP(C147,Old_Model_Registry!$B$2:$K$500,{3,10,8,9},0),"")</f>
        <v/>
      </c>
      <c r="E147" s="190"/>
      <c r="F147" s="190"/>
      <c r="G147" s="191"/>
      <c r="H147" s="192">
        <f t="shared" si="9"/>
        <v>0</v>
      </c>
      <c r="I147" s="121"/>
      <c r="J147" s="193" t="str" cm="1">
        <f t="array" ref="J147">IF(I147="No-Retrofit",F147,IFERROR(VLOOKUP(I147,Vstack!$A$2:$L$1000,{8},0),""))</f>
        <v/>
      </c>
      <c r="K147" s="224" t="str" cm="1">
        <f t="array" ref="K147">IF(I147="No-Retrofit",F147,IFERROR(VLOOKUP(I147,Vstack!$A$2:$L$1000,{9},0)*N147,""))</f>
        <v/>
      </c>
      <c r="L147" s="193" t="str" cm="1">
        <f t="array" ref="L147">IF(I147="No-Retrofit",F147,IFERROR(VLOOKUP(I147,Vstack!$A$2:$L$1000,{10,4},0),""))</f>
        <v/>
      </c>
      <c r="M147" s="193"/>
      <c r="N147" s="121"/>
      <c r="O147" s="193" t="str">
        <f t="shared" si="10"/>
        <v/>
      </c>
      <c r="P147" s="195" t="str">
        <f t="shared" si="11"/>
        <v/>
      </c>
      <c r="Q147" s="246"/>
      <c r="R147" s="229"/>
      <c r="S147" s="245"/>
      <c r="T147" s="229"/>
      <c r="U147" s="196">
        <v>146</v>
      </c>
    </row>
    <row r="148" spans="1:21" ht="15" customHeight="1">
      <c r="A148" s="190" t="str">
        <f t="shared" si="8"/>
        <v>147- -W</v>
      </c>
      <c r="B148" s="123"/>
      <c r="C148" s="125"/>
      <c r="D148" s="190" t="str" cm="1">
        <f t="array" ref="D148">IFERROR(VLOOKUP(C148,Old_Model_Registry!$B$2:$K$500,{3,10,8,9},0),"")</f>
        <v/>
      </c>
      <c r="E148" s="190"/>
      <c r="F148" s="190"/>
      <c r="G148" s="191"/>
      <c r="H148" s="192">
        <f t="shared" si="9"/>
        <v>0</v>
      </c>
      <c r="I148" s="121"/>
      <c r="J148" s="193" t="str" cm="1">
        <f t="array" ref="J148">IF(I148="No-Retrofit",F148,IFERROR(VLOOKUP(I148,Vstack!$A$2:$L$1000,{8},0),""))</f>
        <v/>
      </c>
      <c r="K148" s="224" t="str" cm="1">
        <f t="array" ref="K148">IF(I148="No-Retrofit",F148,IFERROR(VLOOKUP(I148,Vstack!$A$2:$L$1000,{9},0)*N148,""))</f>
        <v/>
      </c>
      <c r="L148" s="193" t="str" cm="1">
        <f t="array" ref="L148">IF(I148="No-Retrofit",F148,IFERROR(VLOOKUP(I148,Vstack!$A$2:$L$1000,{10,4},0),""))</f>
        <v/>
      </c>
      <c r="M148" s="193"/>
      <c r="N148" s="121"/>
      <c r="O148" s="193" t="str">
        <f t="shared" si="10"/>
        <v/>
      </c>
      <c r="P148" s="195" t="str">
        <f t="shared" si="11"/>
        <v/>
      </c>
      <c r="Q148" s="246"/>
      <c r="R148" s="229"/>
      <c r="S148" s="231"/>
      <c r="T148" s="229"/>
      <c r="U148" s="196">
        <v>147</v>
      </c>
    </row>
    <row r="149" spans="1:21" ht="15" customHeight="1">
      <c r="A149" s="190" t="str">
        <f t="shared" si="8"/>
        <v>148- -W</v>
      </c>
      <c r="B149" s="123"/>
      <c r="C149" s="125"/>
      <c r="D149" s="190" t="str" cm="1">
        <f t="array" ref="D149">IFERROR(VLOOKUP(C149,Old_Model_Registry!$B$2:$K$500,{3,10,8,9},0),"")</f>
        <v/>
      </c>
      <c r="E149" s="190"/>
      <c r="F149" s="190"/>
      <c r="G149" s="191"/>
      <c r="H149" s="192">
        <f t="shared" si="9"/>
        <v>0</v>
      </c>
      <c r="I149" s="121"/>
      <c r="J149" s="193" t="str" cm="1">
        <f t="array" ref="J149">IF(I149="No-Retrofit",F149,IFERROR(VLOOKUP(I149,Vstack!$A$2:$L$1000,{8},0),""))</f>
        <v/>
      </c>
      <c r="K149" s="224" t="str" cm="1">
        <f t="array" ref="K149">IF(I149="No-Retrofit",F149,IFERROR(VLOOKUP(I149,Vstack!$A$2:$L$1000,{9},0)*N149,""))</f>
        <v/>
      </c>
      <c r="L149" s="193" t="str" cm="1">
        <f t="array" ref="L149">IF(I149="No-Retrofit",F149,IFERROR(VLOOKUP(I149,Vstack!$A$2:$L$1000,{10,4},0),""))</f>
        <v/>
      </c>
      <c r="M149" s="193"/>
      <c r="N149" s="121"/>
      <c r="O149" s="193" t="str">
        <f t="shared" si="10"/>
        <v/>
      </c>
      <c r="P149" s="195" t="str">
        <f t="shared" si="11"/>
        <v/>
      </c>
      <c r="Q149" s="246"/>
      <c r="R149" s="229"/>
      <c r="S149" s="231"/>
      <c r="T149" s="229"/>
      <c r="U149" s="196">
        <v>148</v>
      </c>
    </row>
    <row r="150" spans="1:21" ht="15" customHeight="1">
      <c r="A150" s="190" t="str">
        <f t="shared" si="8"/>
        <v>149- -W</v>
      </c>
      <c r="B150" s="123"/>
      <c r="C150" s="125"/>
      <c r="D150" s="190" t="str" cm="1">
        <f t="array" ref="D150">IFERROR(VLOOKUP(C150,Old_Model_Registry!$B$2:$K$500,{3,10,8,9},0),"")</f>
        <v/>
      </c>
      <c r="E150" s="190"/>
      <c r="F150" s="190"/>
      <c r="G150" s="191"/>
      <c r="H150" s="192">
        <f t="shared" si="9"/>
        <v>0</v>
      </c>
      <c r="I150" s="121"/>
      <c r="J150" s="193" t="str" cm="1">
        <f t="array" ref="J150">IF(I150="No-Retrofit",F150,IFERROR(VLOOKUP(I150,Vstack!$A$2:$L$1000,{8},0),""))</f>
        <v/>
      </c>
      <c r="K150" s="224" t="str" cm="1">
        <f t="array" ref="K150">IF(I150="No-Retrofit",F150,IFERROR(VLOOKUP(I150,Vstack!$A$2:$L$1000,{9},0)*N150,""))</f>
        <v/>
      </c>
      <c r="L150" s="193" t="str" cm="1">
        <f t="array" ref="L150">IF(I150="No-Retrofit",F150,IFERROR(VLOOKUP(I150,Vstack!$A$2:$L$1000,{10,4},0),""))</f>
        <v/>
      </c>
      <c r="M150" s="193"/>
      <c r="N150" s="121"/>
      <c r="O150" s="193" t="str">
        <f t="shared" si="10"/>
        <v/>
      </c>
      <c r="P150" s="195" t="str">
        <f t="shared" si="11"/>
        <v/>
      </c>
      <c r="Q150" s="246"/>
      <c r="R150" s="229"/>
      <c r="S150" s="231"/>
      <c r="T150" s="229"/>
      <c r="U150" s="196">
        <v>149</v>
      </c>
    </row>
    <row r="151" spans="1:21" ht="15" customHeight="1">
      <c r="A151" s="190" t="str">
        <f t="shared" si="8"/>
        <v>150- -W</v>
      </c>
      <c r="B151" s="123"/>
      <c r="C151" s="125"/>
      <c r="D151" s="190" t="str" cm="1">
        <f t="array" ref="D151">IFERROR(VLOOKUP(C151,Old_Model_Registry!$B$2:$K$500,{3,10,8,9},0),"")</f>
        <v/>
      </c>
      <c r="E151" s="190"/>
      <c r="F151" s="190"/>
      <c r="G151" s="191"/>
      <c r="H151" s="192">
        <f t="shared" si="9"/>
        <v>0</v>
      </c>
      <c r="I151" s="121"/>
      <c r="J151" s="193" t="str" cm="1">
        <f t="array" ref="J151">IF(I151="No-Retrofit",F151,IFERROR(VLOOKUP(I151,Vstack!$A$2:$L$1000,{8},0),""))</f>
        <v/>
      </c>
      <c r="K151" s="224" t="str" cm="1">
        <f t="array" ref="K151">IF(I151="No-Retrofit",F151,IFERROR(VLOOKUP(I151,Vstack!$A$2:$L$1000,{9},0)*N151,""))</f>
        <v/>
      </c>
      <c r="L151" s="193" t="str" cm="1">
        <f t="array" ref="L151">IF(I151="No-Retrofit",F151,IFERROR(VLOOKUP(I151,Vstack!$A$2:$L$1000,{10,4},0),""))</f>
        <v/>
      </c>
      <c r="M151" s="193"/>
      <c r="N151" s="121"/>
      <c r="O151" s="193" t="str">
        <f t="shared" si="10"/>
        <v/>
      </c>
      <c r="P151" s="195" t="str">
        <f t="shared" si="11"/>
        <v/>
      </c>
      <c r="Q151" s="246"/>
      <c r="R151" s="229"/>
      <c r="S151" s="245"/>
      <c r="T151" s="229"/>
      <c r="U151" s="196">
        <v>150</v>
      </c>
    </row>
    <row r="152" spans="1:21" ht="15" customHeight="1">
      <c r="A152" s="190" t="str">
        <f t="shared" si="8"/>
        <v>151- -W</v>
      </c>
      <c r="B152" s="123"/>
      <c r="C152" s="125"/>
      <c r="D152" s="190" t="str" cm="1">
        <f t="array" ref="D152">IFERROR(VLOOKUP(C152,Old_Model_Registry!$B$2:$K$500,{3,10,8,9},0),"")</f>
        <v/>
      </c>
      <c r="E152" s="190"/>
      <c r="F152" s="190"/>
      <c r="G152" s="191"/>
      <c r="H152" s="192">
        <f t="shared" si="9"/>
        <v>0</v>
      </c>
      <c r="I152" s="121"/>
      <c r="J152" s="193" t="str" cm="1">
        <f t="array" ref="J152">IF(I152="No-Retrofit",F152,IFERROR(VLOOKUP(I152,Vstack!$A$2:$L$1000,{8},0),""))</f>
        <v/>
      </c>
      <c r="K152" s="224" t="str" cm="1">
        <f t="array" ref="K152">IF(I152="No-Retrofit",F152,IFERROR(VLOOKUP(I152,Vstack!$A$2:$L$1000,{9},0)*N152,""))</f>
        <v/>
      </c>
      <c r="L152" s="193" t="str" cm="1">
        <f t="array" ref="L152">IF(I152="No-Retrofit",F152,IFERROR(VLOOKUP(I152,Vstack!$A$2:$L$1000,{10,4},0),""))</f>
        <v/>
      </c>
      <c r="M152" s="193"/>
      <c r="N152" s="121"/>
      <c r="O152" s="193" t="str">
        <f t="shared" si="10"/>
        <v/>
      </c>
      <c r="P152" s="195" t="str">
        <f t="shared" si="11"/>
        <v/>
      </c>
      <c r="Q152" s="246"/>
      <c r="R152" s="229"/>
      <c r="S152" s="245"/>
      <c r="T152" s="229"/>
      <c r="U152" s="196">
        <v>151</v>
      </c>
    </row>
    <row r="153" spans="1:21" ht="15" customHeight="1">
      <c r="A153" s="190" t="str">
        <f t="shared" si="8"/>
        <v>152- -W</v>
      </c>
      <c r="B153" s="123"/>
      <c r="C153" s="125"/>
      <c r="D153" s="190" t="str" cm="1">
        <f t="array" ref="D153">IFERROR(VLOOKUP(C153,Old_Model_Registry!$B$2:$K$500,{3,10,8,9},0),"")</f>
        <v/>
      </c>
      <c r="E153" s="190"/>
      <c r="F153" s="190"/>
      <c r="G153" s="191"/>
      <c r="H153" s="192">
        <f t="shared" si="9"/>
        <v>0</v>
      </c>
      <c r="I153" s="121"/>
      <c r="J153" s="193" t="str" cm="1">
        <f t="array" ref="J153">IF(I153="No-Retrofit",F153,IFERROR(VLOOKUP(I153,Vstack!$A$2:$L$1000,{8},0),""))</f>
        <v/>
      </c>
      <c r="K153" s="224" t="str" cm="1">
        <f t="array" ref="K153">IF(I153="No-Retrofit",F153,IFERROR(VLOOKUP(I153,Vstack!$A$2:$L$1000,{9},0)*N153,""))</f>
        <v/>
      </c>
      <c r="L153" s="193" t="str" cm="1">
        <f t="array" ref="L153">IF(I153="No-Retrofit",F153,IFERROR(VLOOKUP(I153,Vstack!$A$2:$L$1000,{10,4},0),""))</f>
        <v/>
      </c>
      <c r="M153" s="193"/>
      <c r="N153" s="121"/>
      <c r="O153" s="193" t="str">
        <f t="shared" si="10"/>
        <v/>
      </c>
      <c r="P153" s="195" t="str">
        <f t="shared" si="11"/>
        <v/>
      </c>
      <c r="Q153" s="246"/>
      <c r="R153" s="229"/>
      <c r="S153" s="231"/>
      <c r="T153" s="229"/>
      <c r="U153" s="196">
        <v>152</v>
      </c>
    </row>
    <row r="154" spans="1:21" ht="15" customHeight="1">
      <c r="A154" s="190" t="str">
        <f t="shared" si="8"/>
        <v>153- -W</v>
      </c>
      <c r="B154" s="123"/>
      <c r="C154" s="125"/>
      <c r="D154" s="190" t="str" cm="1">
        <f t="array" ref="D154">IFERROR(VLOOKUP(C154,Old_Model_Registry!$B$2:$K$500,{3,10,8,9},0),"")</f>
        <v/>
      </c>
      <c r="E154" s="190"/>
      <c r="F154" s="190"/>
      <c r="G154" s="191"/>
      <c r="H154" s="192">
        <f t="shared" si="9"/>
        <v>0</v>
      </c>
      <c r="I154" s="121"/>
      <c r="J154" s="193" t="str" cm="1">
        <f t="array" ref="J154">IF(I154="No-Retrofit",F154,IFERROR(VLOOKUP(I154,Vstack!$A$2:$L$1000,{8},0),""))</f>
        <v/>
      </c>
      <c r="K154" s="224" t="str" cm="1">
        <f t="array" ref="K154">IF(I154="No-Retrofit",F154,IFERROR(VLOOKUP(I154,Vstack!$A$2:$L$1000,{9},0)*N154,""))</f>
        <v/>
      </c>
      <c r="L154" s="193" t="str" cm="1">
        <f t="array" ref="L154">IF(I154="No-Retrofit",F154,IFERROR(VLOOKUP(I154,Vstack!$A$2:$L$1000,{10,4},0),""))</f>
        <v/>
      </c>
      <c r="M154" s="193"/>
      <c r="N154" s="121"/>
      <c r="O154" s="193" t="str">
        <f t="shared" si="10"/>
        <v/>
      </c>
      <c r="P154" s="195" t="str">
        <f t="shared" si="11"/>
        <v/>
      </c>
      <c r="Q154" s="246"/>
      <c r="R154" s="229"/>
      <c r="S154" s="245"/>
      <c r="T154" s="229"/>
      <c r="U154" s="196">
        <v>153</v>
      </c>
    </row>
    <row r="155" spans="1:21" ht="15" customHeight="1">
      <c r="A155" s="190" t="str">
        <f t="shared" si="8"/>
        <v>154- -W</v>
      </c>
      <c r="B155" s="123"/>
      <c r="C155" s="125"/>
      <c r="D155" s="190" t="str" cm="1">
        <f t="array" ref="D155">IFERROR(VLOOKUP(C155,Old_Model_Registry!$B$2:$K$500,{3,10,8,9},0),"")</f>
        <v/>
      </c>
      <c r="E155" s="190"/>
      <c r="F155" s="190"/>
      <c r="G155" s="191"/>
      <c r="H155" s="192">
        <f t="shared" si="9"/>
        <v>0</v>
      </c>
      <c r="I155" s="121"/>
      <c r="J155" s="193" t="str" cm="1">
        <f t="array" ref="J155">IF(I155="No-Retrofit",F155,IFERROR(VLOOKUP(I155,Vstack!$A$2:$L$1000,{8},0),""))</f>
        <v/>
      </c>
      <c r="K155" s="224" t="str" cm="1">
        <f t="array" ref="K155">IF(I155="No-Retrofit",F155,IFERROR(VLOOKUP(I155,Vstack!$A$2:$L$1000,{9},0)*N155,""))</f>
        <v/>
      </c>
      <c r="L155" s="193" t="str" cm="1">
        <f t="array" ref="L155">IF(I155="No-Retrofit",F155,IFERROR(VLOOKUP(I155,Vstack!$A$2:$L$1000,{10,4},0),""))</f>
        <v/>
      </c>
      <c r="M155" s="193"/>
      <c r="N155" s="121"/>
      <c r="O155" s="193" t="str">
        <f t="shared" si="10"/>
        <v/>
      </c>
      <c r="P155" s="195" t="str">
        <f t="shared" si="11"/>
        <v/>
      </c>
      <c r="Q155" s="246"/>
      <c r="R155" s="229"/>
      <c r="S155" s="245"/>
      <c r="T155" s="229"/>
      <c r="U155" s="196">
        <v>154</v>
      </c>
    </row>
    <row r="156" spans="1:21" ht="15" customHeight="1">
      <c r="A156" s="190" t="str">
        <f t="shared" si="8"/>
        <v>155- -W</v>
      </c>
      <c r="B156" s="123"/>
      <c r="C156" s="125"/>
      <c r="D156" s="190" t="str" cm="1">
        <f t="array" ref="D156">IFERROR(VLOOKUP(C156,Old_Model_Registry!$B$2:$K$500,{3,10,8,9},0),"")</f>
        <v/>
      </c>
      <c r="E156" s="190"/>
      <c r="F156" s="190"/>
      <c r="G156" s="191"/>
      <c r="H156" s="192">
        <f t="shared" si="9"/>
        <v>0</v>
      </c>
      <c r="I156" s="121"/>
      <c r="J156" s="193" t="str" cm="1">
        <f t="array" ref="J156">IF(I156="No-Retrofit",F156,IFERROR(VLOOKUP(I156,Vstack!$A$2:$L$1000,{8},0),""))</f>
        <v/>
      </c>
      <c r="K156" s="224" t="str" cm="1">
        <f t="array" ref="K156">IF(I156="No-Retrofit",F156,IFERROR(VLOOKUP(I156,Vstack!$A$2:$L$1000,{9},0)*N156,""))</f>
        <v/>
      </c>
      <c r="L156" s="193" t="str" cm="1">
        <f t="array" ref="L156">IF(I156="No-Retrofit",F156,IFERROR(VLOOKUP(I156,Vstack!$A$2:$L$1000,{10,4},0),""))</f>
        <v/>
      </c>
      <c r="M156" s="193"/>
      <c r="N156" s="121"/>
      <c r="O156" s="193" t="str">
        <f t="shared" si="10"/>
        <v/>
      </c>
      <c r="P156" s="195" t="str">
        <f t="shared" si="11"/>
        <v/>
      </c>
      <c r="Q156" s="246"/>
      <c r="R156" s="229"/>
      <c r="S156" s="245"/>
      <c r="T156" s="229"/>
      <c r="U156" s="196">
        <v>155</v>
      </c>
    </row>
    <row r="157" spans="1:21" ht="15" customHeight="1">
      <c r="A157" s="190" t="str">
        <f t="shared" si="8"/>
        <v>156- -W</v>
      </c>
      <c r="B157" s="123"/>
      <c r="C157" s="125"/>
      <c r="D157" s="190" t="str" cm="1">
        <f t="array" ref="D157">IFERROR(VLOOKUP(C157,Old_Model_Registry!$B$2:$K$500,{3,10,8,9},0),"")</f>
        <v/>
      </c>
      <c r="E157" s="190"/>
      <c r="F157" s="190"/>
      <c r="G157" s="191"/>
      <c r="H157" s="192">
        <f t="shared" si="9"/>
        <v>0</v>
      </c>
      <c r="I157" s="121"/>
      <c r="J157" s="193" t="str" cm="1">
        <f t="array" ref="J157">IF(I157="No-Retrofit",F157,IFERROR(VLOOKUP(I157,Vstack!$A$2:$L$1000,{8},0),""))</f>
        <v/>
      </c>
      <c r="K157" s="224" t="str" cm="1">
        <f t="array" ref="K157">IF(I157="No-Retrofit",F157,IFERROR(VLOOKUP(I157,Vstack!$A$2:$L$1000,{9},0)*N157,""))</f>
        <v/>
      </c>
      <c r="L157" s="193" t="str" cm="1">
        <f t="array" ref="L157">IF(I157="No-Retrofit",F157,IFERROR(VLOOKUP(I157,Vstack!$A$2:$L$1000,{10,4},0),""))</f>
        <v/>
      </c>
      <c r="M157" s="193"/>
      <c r="N157" s="121"/>
      <c r="O157" s="193" t="str">
        <f t="shared" si="10"/>
        <v/>
      </c>
      <c r="P157" s="195" t="str">
        <f t="shared" si="11"/>
        <v/>
      </c>
      <c r="Q157" s="246"/>
      <c r="R157" s="229"/>
      <c r="S157" s="245"/>
      <c r="T157" s="229"/>
      <c r="U157" s="196">
        <v>156</v>
      </c>
    </row>
    <row r="158" spans="1:21" ht="15" customHeight="1">
      <c r="A158" s="190" t="str">
        <f t="shared" si="8"/>
        <v>157- -W</v>
      </c>
      <c r="B158" s="123"/>
      <c r="C158" s="125"/>
      <c r="D158" s="190" t="str" cm="1">
        <f t="array" ref="D158">IFERROR(VLOOKUP(C158,Old_Model_Registry!$B$2:$K$500,{3,10,8,9},0),"")</f>
        <v/>
      </c>
      <c r="E158" s="190"/>
      <c r="F158" s="190"/>
      <c r="G158" s="191"/>
      <c r="H158" s="192">
        <f t="shared" si="9"/>
        <v>0</v>
      </c>
      <c r="I158" s="121"/>
      <c r="J158" s="193" t="str" cm="1">
        <f t="array" ref="J158">IF(I158="No-Retrofit",F158,IFERROR(VLOOKUP(I158,Vstack!$A$2:$L$1000,{8},0),""))</f>
        <v/>
      </c>
      <c r="K158" s="224" t="str" cm="1">
        <f t="array" ref="K158">IF(I158="No-Retrofit",F158,IFERROR(VLOOKUP(I158,Vstack!$A$2:$L$1000,{9},0)*N158,""))</f>
        <v/>
      </c>
      <c r="L158" s="193" t="str" cm="1">
        <f t="array" ref="L158">IF(I158="No-Retrofit",F158,IFERROR(VLOOKUP(I158,Vstack!$A$2:$L$1000,{10,4},0),""))</f>
        <v/>
      </c>
      <c r="M158" s="193"/>
      <c r="N158" s="121"/>
      <c r="O158" s="193" t="str">
        <f t="shared" si="10"/>
        <v/>
      </c>
      <c r="P158" s="195" t="str">
        <f t="shared" si="11"/>
        <v/>
      </c>
      <c r="Q158" s="246"/>
      <c r="R158" s="229"/>
      <c r="S158" s="231"/>
      <c r="T158" s="229"/>
      <c r="U158" s="196">
        <v>157</v>
      </c>
    </row>
    <row r="159" spans="1:21" ht="15" customHeight="1">
      <c r="A159" s="190" t="str">
        <f t="shared" si="8"/>
        <v>158- -W</v>
      </c>
      <c r="B159" s="123"/>
      <c r="C159" s="125"/>
      <c r="D159" s="190" t="str" cm="1">
        <f t="array" ref="D159">IFERROR(VLOOKUP(C159,Old_Model_Registry!$B$2:$K$500,{3,10,8,9},0),"")</f>
        <v/>
      </c>
      <c r="E159" s="190"/>
      <c r="F159" s="190"/>
      <c r="G159" s="191"/>
      <c r="H159" s="192">
        <f t="shared" si="9"/>
        <v>0</v>
      </c>
      <c r="I159" s="121"/>
      <c r="J159" s="193" t="str" cm="1">
        <f t="array" ref="J159">IF(I159="No-Retrofit",F159,IFERROR(VLOOKUP(I159,Vstack!$A$2:$L$1000,{8},0),""))</f>
        <v/>
      </c>
      <c r="K159" s="224" t="str" cm="1">
        <f t="array" ref="K159">IF(I159="No-Retrofit",F159,IFERROR(VLOOKUP(I159,Vstack!$A$2:$L$1000,{9},0)*N159,""))</f>
        <v/>
      </c>
      <c r="L159" s="193" t="str" cm="1">
        <f t="array" ref="L159">IF(I159="No-Retrofit",F159,IFERROR(VLOOKUP(I159,Vstack!$A$2:$L$1000,{10,4},0),""))</f>
        <v/>
      </c>
      <c r="M159" s="193"/>
      <c r="N159" s="121"/>
      <c r="O159" s="193" t="str">
        <f t="shared" si="10"/>
        <v/>
      </c>
      <c r="P159" s="195" t="str">
        <f t="shared" si="11"/>
        <v/>
      </c>
      <c r="Q159" s="246"/>
      <c r="R159" s="229"/>
      <c r="S159" s="245"/>
      <c r="T159" s="229"/>
      <c r="U159" s="196">
        <v>158</v>
      </c>
    </row>
    <row r="160" spans="1:21" ht="15" customHeight="1">
      <c r="A160" s="190" t="str">
        <f t="shared" si="8"/>
        <v>159- -W</v>
      </c>
      <c r="B160" s="123"/>
      <c r="C160" s="125"/>
      <c r="D160" s="190" t="str" cm="1">
        <f t="array" ref="D160">IFERROR(VLOOKUP(C160,Old_Model_Registry!$B$2:$K$500,{3,10,8,9},0),"")</f>
        <v/>
      </c>
      <c r="E160" s="190"/>
      <c r="F160" s="190"/>
      <c r="G160" s="191"/>
      <c r="H160" s="192">
        <f t="shared" si="9"/>
        <v>0</v>
      </c>
      <c r="I160" s="121"/>
      <c r="J160" s="193" t="str" cm="1">
        <f t="array" ref="J160">IF(I160="No-Retrofit",F160,IFERROR(VLOOKUP(I160,Vstack!$A$2:$L$1000,{8},0),""))</f>
        <v/>
      </c>
      <c r="K160" s="224" t="str" cm="1">
        <f t="array" ref="K160">IF(I160="No-Retrofit",F160,IFERROR(VLOOKUP(I160,Vstack!$A$2:$L$1000,{9},0)*N160,""))</f>
        <v/>
      </c>
      <c r="L160" s="193" t="str" cm="1">
        <f t="array" ref="L160">IF(I160="No-Retrofit",F160,IFERROR(VLOOKUP(I160,Vstack!$A$2:$L$1000,{10,4},0),""))</f>
        <v/>
      </c>
      <c r="M160" s="193"/>
      <c r="N160" s="121"/>
      <c r="O160" s="193" t="str">
        <f t="shared" si="10"/>
        <v/>
      </c>
      <c r="P160" s="195" t="str">
        <f t="shared" si="11"/>
        <v/>
      </c>
      <c r="Q160" s="246"/>
      <c r="R160" s="229"/>
      <c r="S160" s="245"/>
      <c r="T160" s="229"/>
      <c r="U160" s="196">
        <v>159</v>
      </c>
    </row>
    <row r="161" spans="1:21" ht="15" customHeight="1">
      <c r="A161" s="190" t="str">
        <f t="shared" si="8"/>
        <v>160- -W</v>
      </c>
      <c r="B161" s="123"/>
      <c r="C161" s="125"/>
      <c r="D161" s="190" t="str" cm="1">
        <f t="array" ref="D161">IFERROR(VLOOKUP(C161,Old_Model_Registry!$B$2:$K$500,{3,10,8,9},0),"")</f>
        <v/>
      </c>
      <c r="E161" s="190"/>
      <c r="F161" s="190"/>
      <c r="G161" s="191"/>
      <c r="H161" s="192">
        <f t="shared" si="9"/>
        <v>0</v>
      </c>
      <c r="I161" s="121"/>
      <c r="J161" s="193" t="str" cm="1">
        <f t="array" ref="J161">IF(I161="No-Retrofit",F161,IFERROR(VLOOKUP(I161,Vstack!$A$2:$L$1000,{8},0),""))</f>
        <v/>
      </c>
      <c r="K161" s="224" t="str" cm="1">
        <f t="array" ref="K161">IF(I161="No-Retrofit",F161,IFERROR(VLOOKUP(I161,Vstack!$A$2:$L$1000,{9},0)*N161,""))</f>
        <v/>
      </c>
      <c r="L161" s="193" t="str" cm="1">
        <f t="array" ref="L161">IF(I161="No-Retrofit",F161,IFERROR(VLOOKUP(I161,Vstack!$A$2:$L$1000,{10,4},0),""))</f>
        <v/>
      </c>
      <c r="M161" s="193"/>
      <c r="N161" s="121"/>
      <c r="O161" s="193" t="str">
        <f t="shared" si="10"/>
        <v/>
      </c>
      <c r="P161" s="195" t="str">
        <f t="shared" si="11"/>
        <v/>
      </c>
      <c r="Q161" s="246"/>
      <c r="R161" s="229"/>
      <c r="S161" s="245"/>
      <c r="T161" s="229"/>
      <c r="U161" s="196">
        <v>160</v>
      </c>
    </row>
    <row r="162" spans="1:21" ht="15" customHeight="1">
      <c r="A162" s="190" t="str">
        <f t="shared" si="8"/>
        <v>161- -W</v>
      </c>
      <c r="B162" s="123"/>
      <c r="C162" s="125"/>
      <c r="D162" s="190" t="str" cm="1">
        <f t="array" ref="D162">IFERROR(VLOOKUP(C162,Old_Model_Registry!$B$2:$K$500,{3,10,8,9},0),"")</f>
        <v/>
      </c>
      <c r="E162" s="190"/>
      <c r="F162" s="190"/>
      <c r="G162" s="191"/>
      <c r="H162" s="192">
        <f t="shared" si="9"/>
        <v>0</v>
      </c>
      <c r="I162" s="121"/>
      <c r="J162" s="193" t="str" cm="1">
        <f t="array" ref="J162">IF(I162="No-Retrofit",F162,IFERROR(VLOOKUP(I162,Vstack!$A$2:$L$1000,{8},0),""))</f>
        <v/>
      </c>
      <c r="K162" s="224" t="str" cm="1">
        <f t="array" ref="K162">IF(I162="No-Retrofit",F162,IFERROR(VLOOKUP(I162,Vstack!$A$2:$L$1000,{9},0)*N162,""))</f>
        <v/>
      </c>
      <c r="L162" s="193" t="str" cm="1">
        <f t="array" ref="L162">IF(I162="No-Retrofit",F162,IFERROR(VLOOKUP(I162,Vstack!$A$2:$L$1000,{10,4},0),""))</f>
        <v/>
      </c>
      <c r="M162" s="193"/>
      <c r="N162" s="121"/>
      <c r="O162" s="193" t="str">
        <f t="shared" si="10"/>
        <v/>
      </c>
      <c r="P162" s="195" t="str">
        <f t="shared" si="11"/>
        <v/>
      </c>
      <c r="Q162" s="246"/>
      <c r="R162" s="229"/>
      <c r="S162" s="245"/>
      <c r="T162" s="229"/>
      <c r="U162" s="196">
        <v>161</v>
      </c>
    </row>
    <row r="163" spans="1:21" ht="15" customHeight="1">
      <c r="A163" s="190" t="str">
        <f t="shared" si="8"/>
        <v>162- -W</v>
      </c>
      <c r="B163" s="123"/>
      <c r="C163" s="125"/>
      <c r="D163" s="190" t="str" cm="1">
        <f t="array" ref="D163">IFERROR(VLOOKUP(C163,Old_Model_Registry!$B$2:$K$500,{3,10,8,9},0),"")</f>
        <v/>
      </c>
      <c r="E163" s="190"/>
      <c r="F163" s="190"/>
      <c r="G163" s="191"/>
      <c r="H163" s="192">
        <f t="shared" si="9"/>
        <v>0</v>
      </c>
      <c r="I163" s="121"/>
      <c r="J163" s="193" t="str" cm="1">
        <f t="array" ref="J163">IF(I163="No-Retrofit",F163,IFERROR(VLOOKUP(I163,Vstack!$A$2:$L$1000,{8},0),""))</f>
        <v/>
      </c>
      <c r="K163" s="224" t="str" cm="1">
        <f t="array" ref="K163">IF(I163="No-Retrofit",F163,IFERROR(VLOOKUP(I163,Vstack!$A$2:$L$1000,{9},0)*N163,""))</f>
        <v/>
      </c>
      <c r="L163" s="193" t="str" cm="1">
        <f t="array" ref="L163">IF(I163="No-Retrofit",F163,IFERROR(VLOOKUP(I163,Vstack!$A$2:$L$1000,{10,4},0),""))</f>
        <v/>
      </c>
      <c r="M163" s="193"/>
      <c r="N163" s="121"/>
      <c r="O163" s="193" t="str">
        <f t="shared" si="10"/>
        <v/>
      </c>
      <c r="P163" s="195" t="str">
        <f t="shared" si="11"/>
        <v/>
      </c>
      <c r="Q163" s="246"/>
      <c r="R163" s="229"/>
      <c r="S163" s="231"/>
      <c r="T163" s="229"/>
      <c r="U163" s="196">
        <v>162</v>
      </c>
    </row>
    <row r="164" spans="1:21" ht="15" customHeight="1">
      <c r="A164" s="190" t="str">
        <f t="shared" si="8"/>
        <v>163- -W</v>
      </c>
      <c r="B164" s="123"/>
      <c r="C164" s="125"/>
      <c r="D164" s="190" t="str" cm="1">
        <f t="array" ref="D164">IFERROR(VLOOKUP(C164,Old_Model_Registry!$B$2:$K$500,{3,10,8,9},0),"")</f>
        <v/>
      </c>
      <c r="E164" s="190"/>
      <c r="F164" s="190"/>
      <c r="G164" s="191"/>
      <c r="H164" s="192">
        <f t="shared" si="9"/>
        <v>0</v>
      </c>
      <c r="I164" s="121"/>
      <c r="J164" s="193" t="str" cm="1">
        <f t="array" ref="J164">IF(I164="No-Retrofit",F164,IFERROR(VLOOKUP(I164,Vstack!$A$2:$L$1000,{8},0),""))</f>
        <v/>
      </c>
      <c r="K164" s="224" t="str" cm="1">
        <f t="array" ref="K164">IF(I164="No-Retrofit",F164,IFERROR(VLOOKUP(I164,Vstack!$A$2:$L$1000,{9},0)*N164,""))</f>
        <v/>
      </c>
      <c r="L164" s="193" t="str" cm="1">
        <f t="array" ref="L164">IF(I164="No-Retrofit",F164,IFERROR(VLOOKUP(I164,Vstack!$A$2:$L$1000,{10,4},0),""))</f>
        <v/>
      </c>
      <c r="M164" s="193"/>
      <c r="N164" s="121"/>
      <c r="O164" s="193" t="str">
        <f t="shared" si="10"/>
        <v/>
      </c>
      <c r="P164" s="195" t="str">
        <f t="shared" si="11"/>
        <v/>
      </c>
      <c r="Q164" s="246"/>
      <c r="R164" s="229"/>
      <c r="S164" s="245"/>
      <c r="T164" s="229"/>
      <c r="U164" s="196">
        <v>163</v>
      </c>
    </row>
    <row r="165" spans="1:21" ht="15" customHeight="1">
      <c r="A165" s="190" t="str">
        <f t="shared" si="8"/>
        <v>164- -W</v>
      </c>
      <c r="B165" s="123"/>
      <c r="C165" s="125"/>
      <c r="D165" s="190" t="str" cm="1">
        <f t="array" ref="D165">IFERROR(VLOOKUP(C165,Old_Model_Registry!$B$2:$K$500,{3,10,8,9},0),"")</f>
        <v/>
      </c>
      <c r="E165" s="190"/>
      <c r="F165" s="190"/>
      <c r="G165" s="191"/>
      <c r="H165" s="192">
        <f t="shared" si="9"/>
        <v>0</v>
      </c>
      <c r="I165" s="121"/>
      <c r="J165" s="193" t="str" cm="1">
        <f t="array" ref="J165">IF(I165="No-Retrofit",F165,IFERROR(VLOOKUP(I165,Vstack!$A$2:$L$1000,{8},0),""))</f>
        <v/>
      </c>
      <c r="K165" s="224" t="str" cm="1">
        <f t="array" ref="K165">IF(I165="No-Retrofit",F165,IFERROR(VLOOKUP(I165,Vstack!$A$2:$L$1000,{9},0)*N165,""))</f>
        <v/>
      </c>
      <c r="L165" s="193" t="str" cm="1">
        <f t="array" ref="L165">IF(I165="No-Retrofit",F165,IFERROR(VLOOKUP(I165,Vstack!$A$2:$L$1000,{10,4},0),""))</f>
        <v/>
      </c>
      <c r="M165" s="193"/>
      <c r="N165" s="121"/>
      <c r="O165" s="193" t="str">
        <f t="shared" si="10"/>
        <v/>
      </c>
      <c r="P165" s="195" t="str">
        <f t="shared" si="11"/>
        <v/>
      </c>
      <c r="Q165" s="246"/>
      <c r="R165" s="229"/>
      <c r="S165" s="245"/>
      <c r="T165" s="229"/>
      <c r="U165" s="196">
        <v>164</v>
      </c>
    </row>
    <row r="166" spans="1:21" ht="15" customHeight="1">
      <c r="A166" s="190" t="str">
        <f t="shared" si="8"/>
        <v>165- -W</v>
      </c>
      <c r="B166" s="123"/>
      <c r="C166" s="125"/>
      <c r="D166" s="190" t="str" cm="1">
        <f t="array" ref="D166">IFERROR(VLOOKUP(C166,Old_Model_Registry!$B$2:$K$500,{3,10,8,9},0),"")</f>
        <v/>
      </c>
      <c r="E166" s="190"/>
      <c r="F166" s="190"/>
      <c r="G166" s="191"/>
      <c r="H166" s="192">
        <f t="shared" si="9"/>
        <v>0</v>
      </c>
      <c r="I166" s="121"/>
      <c r="J166" s="193" t="str" cm="1">
        <f t="array" ref="J166">IF(I166="No-Retrofit",F166,IFERROR(VLOOKUP(I166,Vstack!$A$2:$L$1000,{8},0),""))</f>
        <v/>
      </c>
      <c r="K166" s="224" t="str" cm="1">
        <f t="array" ref="K166">IF(I166="No-Retrofit",F166,IFERROR(VLOOKUP(I166,Vstack!$A$2:$L$1000,{9},0)*N166,""))</f>
        <v/>
      </c>
      <c r="L166" s="193" t="str" cm="1">
        <f t="array" ref="L166">IF(I166="No-Retrofit",F166,IFERROR(VLOOKUP(I166,Vstack!$A$2:$L$1000,{10,4},0),""))</f>
        <v/>
      </c>
      <c r="M166" s="193"/>
      <c r="N166" s="121"/>
      <c r="O166" s="193" t="str">
        <f t="shared" si="10"/>
        <v/>
      </c>
      <c r="P166" s="195" t="str">
        <f t="shared" si="11"/>
        <v/>
      </c>
      <c r="Q166" s="246"/>
      <c r="R166" s="229"/>
      <c r="S166" s="245"/>
      <c r="T166" s="229"/>
      <c r="U166" s="196">
        <v>165</v>
      </c>
    </row>
    <row r="167" spans="1:21" ht="15" customHeight="1">
      <c r="A167" s="190" t="str">
        <f t="shared" si="8"/>
        <v>166- -W</v>
      </c>
      <c r="B167" s="123"/>
      <c r="C167" s="125"/>
      <c r="D167" s="190" t="str" cm="1">
        <f t="array" ref="D167">IFERROR(VLOOKUP(C167,Old_Model_Registry!$B$2:$K$500,{3,10,8,9},0),"")</f>
        <v/>
      </c>
      <c r="E167" s="190"/>
      <c r="F167" s="190"/>
      <c r="G167" s="191"/>
      <c r="H167" s="192">
        <f t="shared" si="9"/>
        <v>0</v>
      </c>
      <c r="I167" s="121"/>
      <c r="J167" s="193" t="str" cm="1">
        <f t="array" ref="J167">IF(I167="No-Retrofit",F167,IFERROR(VLOOKUP(I167,Vstack!$A$2:$L$1000,{8},0),""))</f>
        <v/>
      </c>
      <c r="K167" s="224" t="str" cm="1">
        <f t="array" ref="K167">IF(I167="No-Retrofit",F167,IFERROR(VLOOKUP(I167,Vstack!$A$2:$L$1000,{9},0)*N167,""))</f>
        <v/>
      </c>
      <c r="L167" s="193" t="str" cm="1">
        <f t="array" ref="L167">IF(I167="No-Retrofit",F167,IFERROR(VLOOKUP(I167,Vstack!$A$2:$L$1000,{10,4},0),""))</f>
        <v/>
      </c>
      <c r="M167" s="193"/>
      <c r="N167" s="121"/>
      <c r="O167" s="193" t="str">
        <f t="shared" si="10"/>
        <v/>
      </c>
      <c r="P167" s="195" t="str">
        <f t="shared" si="11"/>
        <v/>
      </c>
      <c r="Q167" s="246"/>
      <c r="R167" s="229"/>
      <c r="S167" s="245"/>
      <c r="T167" s="229"/>
      <c r="U167" s="196">
        <v>166</v>
      </c>
    </row>
    <row r="168" spans="1:21" ht="15" customHeight="1">
      <c r="A168" s="190" t="str">
        <f t="shared" si="8"/>
        <v>167- -W</v>
      </c>
      <c r="B168" s="123"/>
      <c r="C168" s="125"/>
      <c r="D168" s="190" t="str" cm="1">
        <f t="array" ref="D168">IFERROR(VLOOKUP(C168,Old_Model_Registry!$B$2:$K$500,{3,10,8,9},0),"")</f>
        <v/>
      </c>
      <c r="E168" s="190"/>
      <c r="F168" s="190"/>
      <c r="G168" s="191"/>
      <c r="H168" s="192">
        <f t="shared" si="9"/>
        <v>0</v>
      </c>
      <c r="I168" s="121"/>
      <c r="J168" s="193" t="str" cm="1">
        <f t="array" ref="J168">IF(I168="No-Retrofit",F168,IFERROR(VLOOKUP(I168,Vstack!$A$2:$L$1000,{8},0),""))</f>
        <v/>
      </c>
      <c r="K168" s="224" t="str" cm="1">
        <f t="array" ref="K168">IF(I168="No-Retrofit",F168,IFERROR(VLOOKUP(I168,Vstack!$A$2:$L$1000,{9},0)*N168,""))</f>
        <v/>
      </c>
      <c r="L168" s="193" t="str" cm="1">
        <f t="array" ref="L168">IF(I168="No-Retrofit",F168,IFERROR(VLOOKUP(I168,Vstack!$A$2:$L$1000,{10,4},0),""))</f>
        <v/>
      </c>
      <c r="M168" s="193"/>
      <c r="N168" s="121"/>
      <c r="O168" s="193" t="str">
        <f t="shared" si="10"/>
        <v/>
      </c>
      <c r="P168" s="195" t="str">
        <f t="shared" si="11"/>
        <v/>
      </c>
      <c r="Q168" s="246"/>
      <c r="R168" s="229"/>
      <c r="S168" s="245"/>
      <c r="T168" s="229"/>
      <c r="U168" s="196">
        <v>167</v>
      </c>
    </row>
    <row r="169" spans="1:21" ht="15" customHeight="1">
      <c r="A169" s="190" t="str">
        <f t="shared" si="8"/>
        <v>168- -W</v>
      </c>
      <c r="B169" s="123"/>
      <c r="C169" s="125"/>
      <c r="D169" s="190" t="str" cm="1">
        <f t="array" ref="D169">IFERROR(VLOOKUP(C169,Old_Model_Registry!$B$2:$K$500,{3,10,8,9},0),"")</f>
        <v/>
      </c>
      <c r="E169" s="190"/>
      <c r="F169" s="190"/>
      <c r="G169" s="191"/>
      <c r="H169" s="192">
        <f t="shared" si="9"/>
        <v>0</v>
      </c>
      <c r="I169" s="121"/>
      <c r="J169" s="193" t="str" cm="1">
        <f t="array" ref="J169">IF(I169="No-Retrofit",F169,IFERROR(VLOOKUP(I169,Vstack!$A$2:$L$1000,{8},0),""))</f>
        <v/>
      </c>
      <c r="K169" s="224" t="str" cm="1">
        <f t="array" ref="K169">IF(I169="No-Retrofit",F169,IFERROR(VLOOKUP(I169,Vstack!$A$2:$L$1000,{9},0)*N169,""))</f>
        <v/>
      </c>
      <c r="L169" s="193" t="str" cm="1">
        <f t="array" ref="L169">IF(I169="No-Retrofit",F169,IFERROR(VLOOKUP(I169,Vstack!$A$2:$L$1000,{10,4},0),""))</f>
        <v/>
      </c>
      <c r="M169" s="193"/>
      <c r="N169" s="121"/>
      <c r="O169" s="193" t="str">
        <f t="shared" si="10"/>
        <v/>
      </c>
      <c r="P169" s="195" t="str">
        <f t="shared" si="11"/>
        <v/>
      </c>
      <c r="Q169" s="246"/>
      <c r="R169" s="229"/>
      <c r="S169" s="245"/>
      <c r="T169" s="229"/>
      <c r="U169" s="196">
        <v>168</v>
      </c>
    </row>
    <row r="170" spans="1:21" ht="15" customHeight="1">
      <c r="A170" s="190" t="str">
        <f t="shared" si="8"/>
        <v>169- -W</v>
      </c>
      <c r="B170" s="123"/>
      <c r="C170" s="125"/>
      <c r="D170" s="190" t="str" cm="1">
        <f t="array" ref="D170">IFERROR(VLOOKUP(C170,Old_Model_Registry!$B$2:$K$500,{3,10,8,9},0),"")</f>
        <v/>
      </c>
      <c r="E170" s="190"/>
      <c r="F170" s="190"/>
      <c r="G170" s="191"/>
      <c r="H170" s="192">
        <f t="shared" si="9"/>
        <v>0</v>
      </c>
      <c r="I170" s="121"/>
      <c r="J170" s="193" t="str" cm="1">
        <f t="array" ref="J170">IF(I170="No-Retrofit",F170,IFERROR(VLOOKUP(I170,Vstack!$A$2:$L$1000,{8},0),""))</f>
        <v/>
      </c>
      <c r="K170" s="224" t="str" cm="1">
        <f t="array" ref="K170">IF(I170="No-Retrofit",F170,IFERROR(VLOOKUP(I170,Vstack!$A$2:$L$1000,{9},0)*N170,""))</f>
        <v/>
      </c>
      <c r="L170" s="193" t="str" cm="1">
        <f t="array" ref="L170">IF(I170="No-Retrofit",F170,IFERROR(VLOOKUP(I170,Vstack!$A$2:$L$1000,{10,4},0),""))</f>
        <v/>
      </c>
      <c r="M170" s="193"/>
      <c r="N170" s="121"/>
      <c r="O170" s="193" t="str">
        <f t="shared" si="10"/>
        <v/>
      </c>
      <c r="P170" s="195" t="str">
        <f t="shared" si="11"/>
        <v/>
      </c>
      <c r="Q170" s="246"/>
      <c r="R170" s="229"/>
      <c r="S170" s="231"/>
      <c r="T170" s="229"/>
      <c r="U170" s="196">
        <v>169</v>
      </c>
    </row>
    <row r="171" spans="1:21" ht="15" customHeight="1">
      <c r="A171" s="190" t="str">
        <f t="shared" si="8"/>
        <v>170- -W</v>
      </c>
      <c r="B171" s="123"/>
      <c r="C171" s="125"/>
      <c r="D171" s="190" t="str" cm="1">
        <f t="array" ref="D171">IFERROR(VLOOKUP(C171,Old_Model_Registry!$B$2:$K$500,{3,10,8,9},0),"")</f>
        <v/>
      </c>
      <c r="E171" s="190"/>
      <c r="F171" s="190"/>
      <c r="G171" s="191"/>
      <c r="H171" s="192">
        <f t="shared" si="9"/>
        <v>0</v>
      </c>
      <c r="I171" s="121"/>
      <c r="J171" s="193" t="str" cm="1">
        <f t="array" ref="J171">IF(I171="No-Retrofit",F171,IFERROR(VLOOKUP(I171,Vstack!$A$2:$L$1000,{8},0),""))</f>
        <v/>
      </c>
      <c r="K171" s="224" t="str" cm="1">
        <f t="array" ref="K171">IF(I171="No-Retrofit",F171,IFERROR(VLOOKUP(I171,Vstack!$A$2:$L$1000,{9},0)*N171,""))</f>
        <v/>
      </c>
      <c r="L171" s="193" t="str" cm="1">
        <f t="array" ref="L171">IF(I171="No-Retrofit",F171,IFERROR(VLOOKUP(I171,Vstack!$A$2:$L$1000,{10,4},0),""))</f>
        <v/>
      </c>
      <c r="M171" s="193"/>
      <c r="N171" s="121"/>
      <c r="O171" s="193" t="str">
        <f t="shared" si="10"/>
        <v/>
      </c>
      <c r="P171" s="195" t="str">
        <f t="shared" si="11"/>
        <v/>
      </c>
      <c r="Q171" s="246"/>
      <c r="R171" s="229"/>
      <c r="S171" s="245"/>
      <c r="T171" s="229"/>
      <c r="U171" s="196">
        <v>170</v>
      </c>
    </row>
    <row r="172" spans="1:21" ht="15" customHeight="1">
      <c r="A172" s="190" t="str">
        <f t="shared" si="8"/>
        <v>171- -W</v>
      </c>
      <c r="B172" s="123"/>
      <c r="C172" s="125"/>
      <c r="D172" s="190" t="str" cm="1">
        <f t="array" ref="D172">IFERROR(VLOOKUP(C172,Old_Model_Registry!$B$2:$K$500,{3,10,8,9},0),"")</f>
        <v/>
      </c>
      <c r="E172" s="190"/>
      <c r="F172" s="190"/>
      <c r="G172" s="191"/>
      <c r="H172" s="192">
        <f t="shared" si="9"/>
        <v>0</v>
      </c>
      <c r="I172" s="121"/>
      <c r="J172" s="193" t="str" cm="1">
        <f t="array" ref="J172">IF(I172="No-Retrofit",F172,IFERROR(VLOOKUP(I172,Vstack!$A$2:$L$1000,{8},0),""))</f>
        <v/>
      </c>
      <c r="K172" s="224" t="str" cm="1">
        <f t="array" ref="K172">IF(I172="No-Retrofit",F172,IFERROR(VLOOKUP(I172,Vstack!$A$2:$L$1000,{9},0)*N172,""))</f>
        <v/>
      </c>
      <c r="L172" s="193" t="str" cm="1">
        <f t="array" ref="L172">IF(I172="No-Retrofit",F172,IFERROR(VLOOKUP(I172,Vstack!$A$2:$L$1000,{10,4},0),""))</f>
        <v/>
      </c>
      <c r="M172" s="193"/>
      <c r="N172" s="121"/>
      <c r="O172" s="193" t="str">
        <f t="shared" si="10"/>
        <v/>
      </c>
      <c r="P172" s="195" t="str">
        <f t="shared" si="11"/>
        <v/>
      </c>
      <c r="Q172" s="246"/>
      <c r="R172" s="229"/>
      <c r="S172" s="245"/>
      <c r="T172" s="229"/>
      <c r="U172" s="196">
        <v>171</v>
      </c>
    </row>
    <row r="173" spans="1:21" ht="15" customHeight="1">
      <c r="A173" s="190" t="str">
        <f t="shared" si="8"/>
        <v>172- -W</v>
      </c>
      <c r="B173" s="123"/>
      <c r="C173" s="125"/>
      <c r="D173" s="190" t="str" cm="1">
        <f t="array" ref="D173">IFERROR(VLOOKUP(C173,Old_Model_Registry!$B$2:$K$500,{3,10,8,9},0),"")</f>
        <v/>
      </c>
      <c r="E173" s="190"/>
      <c r="F173" s="190"/>
      <c r="G173" s="191"/>
      <c r="H173" s="192">
        <f t="shared" si="9"/>
        <v>0</v>
      </c>
      <c r="I173" s="121"/>
      <c r="J173" s="193" t="str" cm="1">
        <f t="array" ref="J173">IF(I173="No-Retrofit",F173,IFERROR(VLOOKUP(I173,Vstack!$A$2:$L$1000,{8},0),""))</f>
        <v/>
      </c>
      <c r="K173" s="224" t="str" cm="1">
        <f t="array" ref="K173">IF(I173="No-Retrofit",F173,IFERROR(VLOOKUP(I173,Vstack!$A$2:$L$1000,{9},0)*N173,""))</f>
        <v/>
      </c>
      <c r="L173" s="193" t="str" cm="1">
        <f t="array" ref="L173">IF(I173="No-Retrofit",F173,IFERROR(VLOOKUP(I173,Vstack!$A$2:$L$1000,{10,4},0),""))</f>
        <v/>
      </c>
      <c r="M173" s="193"/>
      <c r="N173" s="121"/>
      <c r="O173" s="193" t="str">
        <f t="shared" si="10"/>
        <v/>
      </c>
      <c r="P173" s="195" t="str">
        <f t="shared" si="11"/>
        <v/>
      </c>
      <c r="Q173" s="246"/>
      <c r="R173" s="229"/>
      <c r="S173" s="245"/>
      <c r="T173" s="229"/>
      <c r="U173" s="196">
        <v>172</v>
      </c>
    </row>
    <row r="174" spans="1:21" ht="15" customHeight="1">
      <c r="A174" s="190" t="str">
        <f t="shared" si="8"/>
        <v>173- -W</v>
      </c>
      <c r="B174" s="123"/>
      <c r="C174" s="125"/>
      <c r="D174" s="190" t="str" cm="1">
        <f t="array" ref="D174">IFERROR(VLOOKUP(C174,Old_Model_Registry!$B$2:$K$500,{3,10,8,9},0),"")</f>
        <v/>
      </c>
      <c r="E174" s="190"/>
      <c r="F174" s="190"/>
      <c r="G174" s="191"/>
      <c r="H174" s="192">
        <f t="shared" si="9"/>
        <v>0</v>
      </c>
      <c r="I174" s="121"/>
      <c r="J174" s="193" t="str" cm="1">
        <f t="array" ref="J174">IF(I174="No-Retrofit",F174,IFERROR(VLOOKUP(I174,Vstack!$A$2:$L$1000,{8},0),""))</f>
        <v/>
      </c>
      <c r="K174" s="224" t="str" cm="1">
        <f t="array" ref="K174">IF(I174="No-Retrofit",F174,IFERROR(VLOOKUP(I174,Vstack!$A$2:$L$1000,{9},0)*N174,""))</f>
        <v/>
      </c>
      <c r="L174" s="193" t="str" cm="1">
        <f t="array" ref="L174">IF(I174="No-Retrofit",F174,IFERROR(VLOOKUP(I174,Vstack!$A$2:$L$1000,{10,4},0),""))</f>
        <v/>
      </c>
      <c r="M174" s="193"/>
      <c r="N174" s="121"/>
      <c r="O174" s="193" t="str">
        <f t="shared" si="10"/>
        <v/>
      </c>
      <c r="P174" s="195" t="str">
        <f t="shared" si="11"/>
        <v/>
      </c>
      <c r="Q174" s="246"/>
      <c r="R174" s="229"/>
      <c r="S174" s="245"/>
      <c r="T174" s="229"/>
      <c r="U174" s="196">
        <v>173</v>
      </c>
    </row>
    <row r="175" spans="1:21" ht="15" customHeight="1">
      <c r="A175" s="190" t="str">
        <f t="shared" si="8"/>
        <v>174- -W</v>
      </c>
      <c r="B175" s="123"/>
      <c r="C175" s="125"/>
      <c r="D175" s="190" t="str" cm="1">
        <f t="array" ref="D175">IFERROR(VLOOKUP(C175,Old_Model_Registry!$B$2:$K$500,{3,10,8,9},0),"")</f>
        <v/>
      </c>
      <c r="E175" s="190"/>
      <c r="F175" s="190"/>
      <c r="G175" s="191"/>
      <c r="H175" s="192">
        <f t="shared" si="9"/>
        <v>0</v>
      </c>
      <c r="I175" s="121"/>
      <c r="J175" s="193" t="str" cm="1">
        <f t="array" ref="J175">IF(I175="No-Retrofit",F175,IFERROR(VLOOKUP(I175,Vstack!$A$2:$L$1000,{8},0),""))</f>
        <v/>
      </c>
      <c r="K175" s="224" t="str" cm="1">
        <f t="array" ref="K175">IF(I175="No-Retrofit",F175,IFERROR(VLOOKUP(I175,Vstack!$A$2:$L$1000,{9},0)*N175,""))</f>
        <v/>
      </c>
      <c r="L175" s="193" t="str" cm="1">
        <f t="array" ref="L175">IF(I175="No-Retrofit",F175,IFERROR(VLOOKUP(I175,Vstack!$A$2:$L$1000,{10,4},0),""))</f>
        <v/>
      </c>
      <c r="M175" s="193"/>
      <c r="N175" s="121"/>
      <c r="O175" s="193" t="str">
        <f t="shared" si="10"/>
        <v/>
      </c>
      <c r="P175" s="195" t="str">
        <f t="shared" si="11"/>
        <v/>
      </c>
      <c r="Q175" s="246"/>
      <c r="R175" s="229"/>
      <c r="S175" s="245"/>
      <c r="T175" s="229"/>
      <c r="U175" s="196">
        <v>174</v>
      </c>
    </row>
    <row r="176" spans="1:21" ht="15" customHeight="1">
      <c r="A176" s="190" t="str">
        <f t="shared" si="8"/>
        <v>175- -W</v>
      </c>
      <c r="B176" s="123"/>
      <c r="C176" s="125"/>
      <c r="D176" s="190" t="str" cm="1">
        <f t="array" ref="D176">IFERROR(VLOOKUP(C176,Old_Model_Registry!$B$2:$K$500,{3,10,8,9},0),"")</f>
        <v/>
      </c>
      <c r="E176" s="190"/>
      <c r="F176" s="190"/>
      <c r="G176" s="191"/>
      <c r="H176" s="192">
        <f t="shared" si="9"/>
        <v>0</v>
      </c>
      <c r="I176" s="121"/>
      <c r="J176" s="193" t="str" cm="1">
        <f t="array" ref="J176">IF(I176="No-Retrofit",F176,IFERROR(VLOOKUP(I176,Vstack!$A$2:$L$1000,{8},0),""))</f>
        <v/>
      </c>
      <c r="K176" s="224" t="str" cm="1">
        <f t="array" ref="K176">IF(I176="No-Retrofit",F176,IFERROR(VLOOKUP(I176,Vstack!$A$2:$L$1000,{9},0)*N176,""))</f>
        <v/>
      </c>
      <c r="L176" s="193" t="str" cm="1">
        <f t="array" ref="L176">IF(I176="No-Retrofit",F176,IFERROR(VLOOKUP(I176,Vstack!$A$2:$L$1000,{10,4},0),""))</f>
        <v/>
      </c>
      <c r="M176" s="193"/>
      <c r="N176" s="121"/>
      <c r="O176" s="193" t="str">
        <f t="shared" si="10"/>
        <v/>
      </c>
      <c r="P176" s="195" t="str">
        <f t="shared" si="11"/>
        <v/>
      </c>
      <c r="Q176" s="246"/>
      <c r="R176" s="229"/>
      <c r="S176" s="231"/>
      <c r="T176" s="229"/>
      <c r="U176" s="196">
        <v>175</v>
      </c>
    </row>
    <row r="177" spans="1:21" ht="15" customHeight="1">
      <c r="A177" s="190" t="str">
        <f t="shared" si="8"/>
        <v>176- -W</v>
      </c>
      <c r="B177" s="123"/>
      <c r="C177" s="125"/>
      <c r="D177" s="190" t="str" cm="1">
        <f t="array" ref="D177">IFERROR(VLOOKUP(C177,Old_Model_Registry!$B$2:$K$500,{3,10,8,9},0),"")</f>
        <v/>
      </c>
      <c r="E177" s="190"/>
      <c r="F177" s="190"/>
      <c r="G177" s="191"/>
      <c r="H177" s="192">
        <f t="shared" si="9"/>
        <v>0</v>
      </c>
      <c r="I177" s="121"/>
      <c r="J177" s="193" t="str" cm="1">
        <f t="array" ref="J177">IF(I177="No-Retrofit",F177,IFERROR(VLOOKUP(I177,Vstack!$A$2:$L$1000,{8},0),""))</f>
        <v/>
      </c>
      <c r="K177" s="224" t="str" cm="1">
        <f t="array" ref="K177">IF(I177="No-Retrofit",F177,IFERROR(VLOOKUP(I177,Vstack!$A$2:$L$1000,{9},0)*N177,""))</f>
        <v/>
      </c>
      <c r="L177" s="193" t="str" cm="1">
        <f t="array" ref="L177">IF(I177="No-Retrofit",F177,IFERROR(VLOOKUP(I177,Vstack!$A$2:$L$1000,{10,4},0),""))</f>
        <v/>
      </c>
      <c r="M177" s="193"/>
      <c r="N177" s="121"/>
      <c r="O177" s="193" t="str">
        <f t="shared" si="10"/>
        <v/>
      </c>
      <c r="P177" s="195" t="str">
        <f t="shared" si="11"/>
        <v/>
      </c>
      <c r="Q177" s="246"/>
      <c r="R177" s="229"/>
      <c r="S177" s="245"/>
      <c r="T177" s="229"/>
      <c r="U177" s="196">
        <v>176</v>
      </c>
    </row>
    <row r="178" spans="1:21" ht="15" customHeight="1">
      <c r="A178" s="190" t="str">
        <f t="shared" si="8"/>
        <v>177- -W</v>
      </c>
      <c r="B178" s="123"/>
      <c r="C178" s="125"/>
      <c r="D178" s="190" t="str" cm="1">
        <f t="array" ref="D178">IFERROR(VLOOKUP(C178,Old_Model_Registry!$B$2:$K$500,{3,10,8,9},0),"")</f>
        <v/>
      </c>
      <c r="E178" s="190"/>
      <c r="F178" s="190"/>
      <c r="G178" s="191"/>
      <c r="H178" s="192">
        <f t="shared" si="9"/>
        <v>0</v>
      </c>
      <c r="I178" s="121"/>
      <c r="J178" s="193" t="str" cm="1">
        <f t="array" ref="J178">IF(I178="No-Retrofit",F178,IFERROR(VLOOKUP(I178,Vstack!$A$2:$L$1000,{8},0),""))</f>
        <v/>
      </c>
      <c r="K178" s="224" t="str" cm="1">
        <f t="array" ref="K178">IF(I178="No-Retrofit",F178,IFERROR(VLOOKUP(I178,Vstack!$A$2:$L$1000,{9},0)*N178,""))</f>
        <v/>
      </c>
      <c r="L178" s="193" t="str" cm="1">
        <f t="array" ref="L178">IF(I178="No-Retrofit",F178,IFERROR(VLOOKUP(I178,Vstack!$A$2:$L$1000,{10,4},0),""))</f>
        <v/>
      </c>
      <c r="M178" s="193"/>
      <c r="N178" s="121"/>
      <c r="O178" s="193" t="str">
        <f t="shared" si="10"/>
        <v/>
      </c>
      <c r="P178" s="195" t="str">
        <f t="shared" si="11"/>
        <v/>
      </c>
      <c r="Q178" s="246"/>
      <c r="R178" s="229"/>
      <c r="S178" s="245"/>
      <c r="T178" s="229"/>
      <c r="U178" s="196">
        <v>177</v>
      </c>
    </row>
    <row r="179" spans="1:21" ht="15" customHeight="1">
      <c r="A179" s="190" t="str">
        <f t="shared" si="8"/>
        <v>178- -W</v>
      </c>
      <c r="B179" s="123"/>
      <c r="C179" s="125"/>
      <c r="D179" s="190" t="str" cm="1">
        <f t="array" ref="D179">IFERROR(VLOOKUP(C179,Old_Model_Registry!$B$2:$K$500,{3,10,8,9},0),"")</f>
        <v/>
      </c>
      <c r="E179" s="190"/>
      <c r="F179" s="190"/>
      <c r="G179" s="191"/>
      <c r="H179" s="192">
        <f t="shared" si="9"/>
        <v>0</v>
      </c>
      <c r="I179" s="121"/>
      <c r="J179" s="193" t="str" cm="1">
        <f t="array" ref="J179">IF(I179="No-Retrofit",F179,IFERROR(VLOOKUP(I179,Vstack!$A$2:$L$1000,{8},0),""))</f>
        <v/>
      </c>
      <c r="K179" s="224" t="str" cm="1">
        <f t="array" ref="K179">IF(I179="No-Retrofit",F179,IFERROR(VLOOKUP(I179,Vstack!$A$2:$L$1000,{9},0)*N179,""))</f>
        <v/>
      </c>
      <c r="L179" s="193" t="str" cm="1">
        <f t="array" ref="L179">IF(I179="No-Retrofit",F179,IFERROR(VLOOKUP(I179,Vstack!$A$2:$L$1000,{10,4},0),""))</f>
        <v/>
      </c>
      <c r="M179" s="193"/>
      <c r="N179" s="121"/>
      <c r="O179" s="193" t="str">
        <f t="shared" si="10"/>
        <v/>
      </c>
      <c r="P179" s="195" t="str">
        <f t="shared" si="11"/>
        <v/>
      </c>
      <c r="Q179" s="246"/>
      <c r="R179" s="229"/>
      <c r="S179" s="245"/>
      <c r="T179" s="229"/>
      <c r="U179" s="196">
        <v>178</v>
      </c>
    </row>
    <row r="180" spans="1:21" ht="15" customHeight="1">
      <c r="A180" s="190" t="str">
        <f t="shared" si="8"/>
        <v>179- -W</v>
      </c>
      <c r="B180" s="123"/>
      <c r="C180" s="125"/>
      <c r="D180" s="190" t="str" cm="1">
        <f t="array" ref="D180">IFERROR(VLOOKUP(C180,Old_Model_Registry!$B$2:$K$500,{3,10,8,9},0),"")</f>
        <v/>
      </c>
      <c r="E180" s="190"/>
      <c r="F180" s="190"/>
      <c r="G180" s="191"/>
      <c r="H180" s="192">
        <f t="shared" si="9"/>
        <v>0</v>
      </c>
      <c r="I180" s="121"/>
      <c r="J180" s="193" t="str" cm="1">
        <f t="array" ref="J180">IF(I180="No-Retrofit",F180,IFERROR(VLOOKUP(I180,Vstack!$A$2:$L$1000,{8},0),""))</f>
        <v/>
      </c>
      <c r="K180" s="224" t="str" cm="1">
        <f t="array" ref="K180">IF(I180="No-Retrofit",F180,IFERROR(VLOOKUP(I180,Vstack!$A$2:$L$1000,{9},0)*N180,""))</f>
        <v/>
      </c>
      <c r="L180" s="193" t="str" cm="1">
        <f t="array" ref="L180">IF(I180="No-Retrofit",F180,IFERROR(VLOOKUP(I180,Vstack!$A$2:$L$1000,{10,4},0),""))</f>
        <v/>
      </c>
      <c r="M180" s="193"/>
      <c r="N180" s="121"/>
      <c r="O180" s="193" t="str">
        <f t="shared" si="10"/>
        <v/>
      </c>
      <c r="P180" s="195" t="str">
        <f t="shared" si="11"/>
        <v/>
      </c>
      <c r="Q180" s="246"/>
      <c r="R180" s="229"/>
      <c r="S180" s="245"/>
      <c r="T180" s="229"/>
      <c r="U180" s="196">
        <v>179</v>
      </c>
    </row>
    <row r="181" spans="1:21" ht="15" customHeight="1">
      <c r="A181" s="190" t="str">
        <f t="shared" si="8"/>
        <v>180- -W</v>
      </c>
      <c r="B181" s="123"/>
      <c r="C181" s="125"/>
      <c r="D181" s="190" t="str" cm="1">
        <f t="array" ref="D181">IFERROR(VLOOKUP(C181,Old_Model_Registry!$B$2:$K$500,{3,10,8,9},0),"")</f>
        <v/>
      </c>
      <c r="E181" s="190"/>
      <c r="F181" s="190"/>
      <c r="G181" s="191"/>
      <c r="H181" s="192">
        <f t="shared" si="9"/>
        <v>0</v>
      </c>
      <c r="I181" s="121"/>
      <c r="J181" s="193" t="str" cm="1">
        <f t="array" ref="J181">IF(I181="No-Retrofit",F181,IFERROR(VLOOKUP(I181,Vstack!$A$2:$L$1000,{8},0),""))</f>
        <v/>
      </c>
      <c r="K181" s="224" t="str" cm="1">
        <f t="array" ref="K181">IF(I181="No-Retrofit",F181,IFERROR(VLOOKUP(I181,Vstack!$A$2:$L$1000,{9},0)*N181,""))</f>
        <v/>
      </c>
      <c r="L181" s="193" t="str" cm="1">
        <f t="array" ref="L181">IF(I181="No-Retrofit",F181,IFERROR(VLOOKUP(I181,Vstack!$A$2:$L$1000,{10,4},0),""))</f>
        <v/>
      </c>
      <c r="M181" s="193"/>
      <c r="N181" s="121"/>
      <c r="O181" s="193" t="str">
        <f t="shared" si="10"/>
        <v/>
      </c>
      <c r="P181" s="195" t="str">
        <f t="shared" si="11"/>
        <v/>
      </c>
      <c r="Q181" s="246"/>
      <c r="R181" s="229"/>
      <c r="S181" s="245"/>
      <c r="T181" s="229"/>
      <c r="U181" s="196">
        <v>180</v>
      </c>
    </row>
    <row r="182" spans="1:21" ht="15" customHeight="1">
      <c r="A182" s="190" t="str">
        <f t="shared" si="8"/>
        <v>181- -W</v>
      </c>
      <c r="B182" s="123"/>
      <c r="C182" s="125"/>
      <c r="D182" s="190" t="str" cm="1">
        <f t="array" ref="D182">IFERROR(VLOOKUP(C182,Old_Model_Registry!$B$2:$K$500,{3,10,8,9},0),"")</f>
        <v/>
      </c>
      <c r="E182" s="190"/>
      <c r="F182" s="190"/>
      <c r="G182" s="191"/>
      <c r="H182" s="192">
        <f t="shared" si="9"/>
        <v>0</v>
      </c>
      <c r="I182" s="121"/>
      <c r="J182" s="193" t="str" cm="1">
        <f t="array" ref="J182">IF(I182="No-Retrofit",F182,IFERROR(VLOOKUP(I182,Vstack!$A$2:$L$1000,{8},0),""))</f>
        <v/>
      </c>
      <c r="K182" s="224" t="str" cm="1">
        <f t="array" ref="K182">IF(I182="No-Retrofit",F182,IFERROR(VLOOKUP(I182,Vstack!$A$2:$L$1000,{9},0)*N182,""))</f>
        <v/>
      </c>
      <c r="L182" s="193" t="str" cm="1">
        <f t="array" ref="L182">IF(I182="No-Retrofit",F182,IFERROR(VLOOKUP(I182,Vstack!$A$2:$L$1000,{10,4},0),""))</f>
        <v/>
      </c>
      <c r="M182" s="193"/>
      <c r="N182" s="121"/>
      <c r="O182" s="193" t="str">
        <f t="shared" si="10"/>
        <v/>
      </c>
      <c r="P182" s="195" t="str">
        <f t="shared" si="11"/>
        <v/>
      </c>
      <c r="Q182" s="246"/>
      <c r="R182" s="229"/>
      <c r="S182" s="231"/>
      <c r="T182" s="229"/>
      <c r="U182" s="196">
        <v>181</v>
      </c>
    </row>
    <row r="183" spans="1:21" ht="15" customHeight="1">
      <c r="A183" s="190" t="str">
        <f t="shared" si="8"/>
        <v>182- -W</v>
      </c>
      <c r="B183" s="123"/>
      <c r="C183" s="125"/>
      <c r="D183" s="190" t="str" cm="1">
        <f t="array" ref="D183">IFERROR(VLOOKUP(C183,Old_Model_Registry!$B$2:$K$500,{3,10,8,9},0),"")</f>
        <v/>
      </c>
      <c r="E183" s="190"/>
      <c r="F183" s="190"/>
      <c r="G183" s="191"/>
      <c r="H183" s="192">
        <f t="shared" si="9"/>
        <v>0</v>
      </c>
      <c r="I183" s="121"/>
      <c r="J183" s="193" t="str" cm="1">
        <f t="array" ref="J183">IF(I183="No-Retrofit",F183,IFERROR(VLOOKUP(I183,Vstack!$A$2:$L$1000,{8},0),""))</f>
        <v/>
      </c>
      <c r="K183" s="224" t="str" cm="1">
        <f t="array" ref="K183">IF(I183="No-Retrofit",F183,IFERROR(VLOOKUP(I183,Vstack!$A$2:$L$1000,{9},0)*N183,""))</f>
        <v/>
      </c>
      <c r="L183" s="193" t="str" cm="1">
        <f t="array" ref="L183">IF(I183="No-Retrofit",F183,IFERROR(VLOOKUP(I183,Vstack!$A$2:$L$1000,{10,4},0),""))</f>
        <v/>
      </c>
      <c r="M183" s="193"/>
      <c r="N183" s="121"/>
      <c r="O183" s="193" t="str">
        <f t="shared" si="10"/>
        <v/>
      </c>
      <c r="P183" s="195" t="str">
        <f t="shared" si="11"/>
        <v/>
      </c>
      <c r="Q183" s="246"/>
      <c r="R183" s="229"/>
      <c r="S183" s="245"/>
      <c r="T183" s="229"/>
      <c r="U183" s="196">
        <v>182</v>
      </c>
    </row>
    <row r="184" spans="1:21" ht="15" customHeight="1">
      <c r="A184" s="190" t="str">
        <f t="shared" si="8"/>
        <v>183- -W</v>
      </c>
      <c r="B184" s="123"/>
      <c r="C184" s="125"/>
      <c r="D184" s="190" t="str" cm="1">
        <f t="array" ref="D184">IFERROR(VLOOKUP(C184,Old_Model_Registry!$B$2:$K$500,{3,10,8,9},0),"")</f>
        <v/>
      </c>
      <c r="E184" s="190"/>
      <c r="F184" s="190"/>
      <c r="G184" s="191"/>
      <c r="H184" s="192">
        <f t="shared" si="9"/>
        <v>0</v>
      </c>
      <c r="I184" s="121"/>
      <c r="J184" s="193" t="str" cm="1">
        <f t="array" ref="J184">IF(I184="No-Retrofit",F184,IFERROR(VLOOKUP(I184,Vstack!$A$2:$L$1000,{8},0),""))</f>
        <v/>
      </c>
      <c r="K184" s="224" t="str" cm="1">
        <f t="array" ref="K184">IF(I184="No-Retrofit",F184,IFERROR(VLOOKUP(I184,Vstack!$A$2:$L$1000,{9},0)*N184,""))</f>
        <v/>
      </c>
      <c r="L184" s="193" t="str" cm="1">
        <f t="array" ref="L184">IF(I184="No-Retrofit",F184,IFERROR(VLOOKUP(I184,Vstack!$A$2:$L$1000,{10,4},0),""))</f>
        <v/>
      </c>
      <c r="M184" s="193"/>
      <c r="N184" s="121"/>
      <c r="O184" s="193" t="str">
        <f t="shared" si="10"/>
        <v/>
      </c>
      <c r="P184" s="195" t="str">
        <f t="shared" si="11"/>
        <v/>
      </c>
      <c r="Q184" s="246"/>
      <c r="R184" s="229"/>
      <c r="S184" s="245"/>
      <c r="T184" s="229"/>
      <c r="U184" s="196">
        <v>183</v>
      </c>
    </row>
    <row r="185" spans="1:21" ht="15" customHeight="1">
      <c r="A185" s="190" t="str">
        <f t="shared" si="8"/>
        <v>184- -W</v>
      </c>
      <c r="B185" s="123"/>
      <c r="C185" s="125"/>
      <c r="D185" s="190" t="str" cm="1">
        <f t="array" ref="D185">IFERROR(VLOOKUP(C185,Old_Model_Registry!$B$2:$K$500,{3,10,8,9},0),"")</f>
        <v/>
      </c>
      <c r="E185" s="190"/>
      <c r="F185" s="190"/>
      <c r="G185" s="191"/>
      <c r="H185" s="192">
        <f t="shared" si="9"/>
        <v>0</v>
      </c>
      <c r="I185" s="121"/>
      <c r="J185" s="193" t="str" cm="1">
        <f t="array" ref="J185">IF(I185="No-Retrofit",F185,IFERROR(VLOOKUP(I185,Vstack!$A$2:$L$1000,{8},0),""))</f>
        <v/>
      </c>
      <c r="K185" s="224" t="str" cm="1">
        <f t="array" ref="K185">IF(I185="No-Retrofit",F185,IFERROR(VLOOKUP(I185,Vstack!$A$2:$L$1000,{9},0)*N185,""))</f>
        <v/>
      </c>
      <c r="L185" s="193" t="str" cm="1">
        <f t="array" ref="L185">IF(I185="No-Retrofit",F185,IFERROR(VLOOKUP(I185,Vstack!$A$2:$L$1000,{10,4},0),""))</f>
        <v/>
      </c>
      <c r="M185" s="193"/>
      <c r="N185" s="121"/>
      <c r="O185" s="193" t="str">
        <f t="shared" si="10"/>
        <v/>
      </c>
      <c r="P185" s="195" t="str">
        <f t="shared" si="11"/>
        <v/>
      </c>
      <c r="Q185" s="246"/>
      <c r="R185" s="229"/>
      <c r="S185" s="231"/>
      <c r="T185" s="229"/>
      <c r="U185" s="196">
        <v>184</v>
      </c>
    </row>
    <row r="186" spans="1:21" ht="15" customHeight="1">
      <c r="A186" s="190" t="str">
        <f t="shared" si="8"/>
        <v>185- -W</v>
      </c>
      <c r="B186" s="123"/>
      <c r="C186" s="125"/>
      <c r="D186" s="190" t="str" cm="1">
        <f t="array" ref="D186">IFERROR(VLOOKUP(C186,Old_Model_Registry!$B$2:$K$500,{3,10,8,9},0),"")</f>
        <v/>
      </c>
      <c r="E186" s="190"/>
      <c r="F186" s="190"/>
      <c r="G186" s="191"/>
      <c r="H186" s="192">
        <f t="shared" si="9"/>
        <v>0</v>
      </c>
      <c r="I186" s="121"/>
      <c r="J186" s="193" t="str" cm="1">
        <f t="array" ref="J186">IF(I186="No-Retrofit",F186,IFERROR(VLOOKUP(I186,Vstack!$A$2:$L$1000,{8},0),""))</f>
        <v/>
      </c>
      <c r="K186" s="224" t="str" cm="1">
        <f t="array" ref="K186">IF(I186="No-Retrofit",F186,IFERROR(VLOOKUP(I186,Vstack!$A$2:$L$1000,{9},0)*N186,""))</f>
        <v/>
      </c>
      <c r="L186" s="193" t="str" cm="1">
        <f t="array" ref="L186">IF(I186="No-Retrofit",F186,IFERROR(VLOOKUP(I186,Vstack!$A$2:$L$1000,{10,4},0),""))</f>
        <v/>
      </c>
      <c r="M186" s="193"/>
      <c r="N186" s="121"/>
      <c r="O186" s="193" t="str">
        <f t="shared" si="10"/>
        <v/>
      </c>
      <c r="P186" s="195" t="str">
        <f t="shared" si="11"/>
        <v/>
      </c>
      <c r="Q186" s="246"/>
      <c r="R186" s="229"/>
      <c r="S186" s="245"/>
      <c r="T186" s="229"/>
      <c r="U186" s="196">
        <v>185</v>
      </c>
    </row>
    <row r="187" spans="1:21" ht="15" customHeight="1">
      <c r="A187" s="190" t="str">
        <f t="shared" si="8"/>
        <v>186- -W</v>
      </c>
      <c r="B187" s="123"/>
      <c r="C187" s="125"/>
      <c r="D187" s="190" t="str" cm="1">
        <f t="array" ref="D187">IFERROR(VLOOKUP(C187,Old_Model_Registry!$B$2:$K$500,{3,10,8,9},0),"")</f>
        <v/>
      </c>
      <c r="E187" s="190"/>
      <c r="F187" s="190"/>
      <c r="G187" s="191"/>
      <c r="H187" s="192">
        <f t="shared" si="9"/>
        <v>0</v>
      </c>
      <c r="I187" s="121"/>
      <c r="J187" s="193" t="str" cm="1">
        <f t="array" ref="J187">IF(I187="No-Retrofit",F187,IFERROR(VLOOKUP(I187,Vstack!$A$2:$L$1000,{8},0),""))</f>
        <v/>
      </c>
      <c r="K187" s="224" t="str" cm="1">
        <f t="array" ref="K187">IF(I187="No-Retrofit",F187,IFERROR(VLOOKUP(I187,Vstack!$A$2:$L$1000,{9},0)*N187,""))</f>
        <v/>
      </c>
      <c r="L187" s="193" t="str" cm="1">
        <f t="array" ref="L187">IF(I187="No-Retrofit",F187,IFERROR(VLOOKUP(I187,Vstack!$A$2:$L$1000,{10,4},0),""))</f>
        <v/>
      </c>
      <c r="M187" s="193"/>
      <c r="N187" s="121"/>
      <c r="O187" s="193" t="str">
        <f t="shared" si="10"/>
        <v/>
      </c>
      <c r="P187" s="195" t="str">
        <f t="shared" si="11"/>
        <v/>
      </c>
      <c r="Q187" s="246"/>
      <c r="R187" s="229"/>
      <c r="S187" s="231"/>
      <c r="T187" s="229"/>
      <c r="U187" s="196">
        <v>186</v>
      </c>
    </row>
    <row r="188" spans="1:21" ht="15" customHeight="1">
      <c r="A188" s="190" t="str">
        <f t="shared" si="8"/>
        <v>187- -W</v>
      </c>
      <c r="B188" s="123"/>
      <c r="C188" s="125"/>
      <c r="D188" s="190" t="str" cm="1">
        <f t="array" ref="D188">IFERROR(VLOOKUP(C188,Old_Model_Registry!$B$2:$K$500,{3,10,8,9},0),"")</f>
        <v/>
      </c>
      <c r="E188" s="190"/>
      <c r="F188" s="190"/>
      <c r="G188" s="191"/>
      <c r="H188" s="192">
        <f t="shared" si="9"/>
        <v>0</v>
      </c>
      <c r="I188" s="121"/>
      <c r="J188" s="193" t="str" cm="1">
        <f t="array" ref="J188">IF(I188="No-Retrofit",F188,IFERROR(VLOOKUP(I188,Vstack!$A$2:$L$1000,{8},0),""))</f>
        <v/>
      </c>
      <c r="K188" s="224" t="str" cm="1">
        <f t="array" ref="K188">IF(I188="No-Retrofit",F188,IFERROR(VLOOKUP(I188,Vstack!$A$2:$L$1000,{9},0)*N188,""))</f>
        <v/>
      </c>
      <c r="L188" s="193" t="str" cm="1">
        <f t="array" ref="L188">IF(I188="No-Retrofit",F188,IFERROR(VLOOKUP(I188,Vstack!$A$2:$L$1000,{10,4},0),""))</f>
        <v/>
      </c>
      <c r="M188" s="193"/>
      <c r="N188" s="121"/>
      <c r="O188" s="193" t="str">
        <f t="shared" si="10"/>
        <v/>
      </c>
      <c r="P188" s="195" t="str">
        <f t="shared" si="11"/>
        <v/>
      </c>
      <c r="Q188" s="246"/>
      <c r="R188" s="229"/>
      <c r="S188" s="231"/>
      <c r="T188" s="229"/>
      <c r="U188" s="196">
        <v>187</v>
      </c>
    </row>
    <row r="189" spans="1:21" ht="15" customHeight="1">
      <c r="A189" s="190" t="str">
        <f t="shared" si="8"/>
        <v>188- -W</v>
      </c>
      <c r="B189" s="123"/>
      <c r="C189" s="125"/>
      <c r="D189" s="190" t="str" cm="1">
        <f t="array" ref="D189">IFERROR(VLOOKUP(C189,Old_Model_Registry!$B$2:$K$500,{3,10,8,9},0),"")</f>
        <v/>
      </c>
      <c r="E189" s="190"/>
      <c r="F189" s="190"/>
      <c r="G189" s="191"/>
      <c r="H189" s="192">
        <f t="shared" si="9"/>
        <v>0</v>
      </c>
      <c r="I189" s="121"/>
      <c r="J189" s="193" t="str" cm="1">
        <f t="array" ref="J189">IF(I189="No-Retrofit",F189,IFERROR(VLOOKUP(I189,Vstack!$A$2:$L$1000,{8},0),""))</f>
        <v/>
      </c>
      <c r="K189" s="224" t="str" cm="1">
        <f t="array" ref="K189">IF(I189="No-Retrofit",F189,IFERROR(VLOOKUP(I189,Vstack!$A$2:$L$1000,{9},0)*N189,""))</f>
        <v/>
      </c>
      <c r="L189" s="193" t="str" cm="1">
        <f t="array" ref="L189">IF(I189="No-Retrofit",F189,IFERROR(VLOOKUP(I189,Vstack!$A$2:$L$1000,{10,4},0),""))</f>
        <v/>
      </c>
      <c r="M189" s="193"/>
      <c r="N189" s="121"/>
      <c r="O189" s="193" t="str">
        <f t="shared" si="10"/>
        <v/>
      </c>
      <c r="P189" s="195" t="str">
        <f t="shared" si="11"/>
        <v/>
      </c>
      <c r="Q189" s="246"/>
      <c r="R189" s="229"/>
      <c r="S189" s="245"/>
      <c r="T189" s="229"/>
      <c r="U189" s="196">
        <v>188</v>
      </c>
    </row>
    <row r="190" spans="1:21" ht="15" customHeight="1">
      <c r="A190" s="190" t="str">
        <f t="shared" si="8"/>
        <v>189- -W</v>
      </c>
      <c r="B190" s="123"/>
      <c r="C190" s="125"/>
      <c r="D190" s="190" t="str" cm="1">
        <f t="array" ref="D190">IFERROR(VLOOKUP(C190,Old_Model_Registry!$B$2:$K$500,{3,10,8,9},0),"")</f>
        <v/>
      </c>
      <c r="E190" s="190"/>
      <c r="F190" s="190"/>
      <c r="G190" s="191"/>
      <c r="H190" s="192">
        <f t="shared" si="9"/>
        <v>0</v>
      </c>
      <c r="I190" s="121"/>
      <c r="J190" s="193" t="str" cm="1">
        <f t="array" ref="J190">IF(I190="No-Retrofit",F190,IFERROR(VLOOKUP(I190,Vstack!$A$2:$L$1000,{8},0),""))</f>
        <v/>
      </c>
      <c r="K190" s="224" t="str" cm="1">
        <f t="array" ref="K190">IF(I190="No-Retrofit",F190,IFERROR(VLOOKUP(I190,Vstack!$A$2:$L$1000,{9},0)*N190,""))</f>
        <v/>
      </c>
      <c r="L190" s="193" t="str" cm="1">
        <f t="array" ref="L190">IF(I190="No-Retrofit",F190,IFERROR(VLOOKUP(I190,Vstack!$A$2:$L$1000,{10,4},0),""))</f>
        <v/>
      </c>
      <c r="M190" s="193"/>
      <c r="N190" s="121"/>
      <c r="O190" s="193" t="str">
        <f t="shared" si="10"/>
        <v/>
      </c>
      <c r="P190" s="195" t="str">
        <f t="shared" si="11"/>
        <v/>
      </c>
      <c r="Q190" s="246"/>
      <c r="R190" s="229"/>
      <c r="S190" s="245"/>
      <c r="T190" s="229"/>
      <c r="U190" s="196">
        <v>189</v>
      </c>
    </row>
    <row r="191" spans="1:21" ht="15" customHeight="1">
      <c r="A191" s="190" t="str">
        <f t="shared" si="8"/>
        <v>190- -W</v>
      </c>
      <c r="B191" s="123"/>
      <c r="C191" s="125"/>
      <c r="D191" s="190" t="str" cm="1">
        <f t="array" ref="D191">IFERROR(VLOOKUP(C191,Old_Model_Registry!$B$2:$K$500,{3,10,8,9},0),"")</f>
        <v/>
      </c>
      <c r="E191" s="190"/>
      <c r="F191" s="190"/>
      <c r="G191" s="191"/>
      <c r="H191" s="192">
        <f t="shared" si="9"/>
        <v>0</v>
      </c>
      <c r="I191" s="121"/>
      <c r="J191" s="193" t="str" cm="1">
        <f t="array" ref="J191">IF(I191="No-Retrofit",F191,IFERROR(VLOOKUP(I191,Vstack!$A$2:$L$1000,{8},0),""))</f>
        <v/>
      </c>
      <c r="K191" s="224" t="str" cm="1">
        <f t="array" ref="K191">IF(I191="No-Retrofit",F191,IFERROR(VLOOKUP(I191,Vstack!$A$2:$L$1000,{9},0)*N191,""))</f>
        <v/>
      </c>
      <c r="L191" s="193" t="str" cm="1">
        <f t="array" ref="L191">IF(I191="No-Retrofit",F191,IFERROR(VLOOKUP(I191,Vstack!$A$2:$L$1000,{10,4},0),""))</f>
        <v/>
      </c>
      <c r="M191" s="193"/>
      <c r="N191" s="121"/>
      <c r="O191" s="193" t="str">
        <f t="shared" si="10"/>
        <v/>
      </c>
      <c r="P191" s="195" t="str">
        <f t="shared" si="11"/>
        <v/>
      </c>
      <c r="Q191" s="246"/>
      <c r="R191" s="229"/>
      <c r="S191" s="231"/>
      <c r="T191" s="229"/>
      <c r="U191" s="196">
        <v>190</v>
      </c>
    </row>
    <row r="192" spans="1:21" ht="15" customHeight="1">
      <c r="A192" s="190" t="str">
        <f t="shared" si="8"/>
        <v>191- -W</v>
      </c>
      <c r="B192" s="123"/>
      <c r="C192" s="125"/>
      <c r="D192" s="190" t="str" cm="1">
        <f t="array" ref="D192">IFERROR(VLOOKUP(C192,Old_Model_Registry!$B$2:$K$500,{3,10,8,9},0),"")</f>
        <v/>
      </c>
      <c r="E192" s="190"/>
      <c r="F192" s="190"/>
      <c r="G192" s="191"/>
      <c r="H192" s="192">
        <f t="shared" si="9"/>
        <v>0</v>
      </c>
      <c r="I192" s="121"/>
      <c r="J192" s="193" t="str" cm="1">
        <f t="array" ref="J192">IF(I192="No-Retrofit",F192,IFERROR(VLOOKUP(I192,Vstack!$A$2:$L$1000,{8},0),""))</f>
        <v/>
      </c>
      <c r="K192" s="224" t="str" cm="1">
        <f t="array" ref="K192">IF(I192="No-Retrofit",F192,IFERROR(VLOOKUP(I192,Vstack!$A$2:$L$1000,{9},0)*N192,""))</f>
        <v/>
      </c>
      <c r="L192" s="193" t="str" cm="1">
        <f t="array" ref="L192">IF(I192="No-Retrofit",F192,IFERROR(VLOOKUP(I192,Vstack!$A$2:$L$1000,{10,4},0),""))</f>
        <v/>
      </c>
      <c r="M192" s="193"/>
      <c r="N192" s="121"/>
      <c r="O192" s="193" t="str">
        <f t="shared" si="10"/>
        <v/>
      </c>
      <c r="P192" s="195" t="str">
        <f t="shared" si="11"/>
        <v/>
      </c>
      <c r="Q192" s="246"/>
      <c r="R192" s="229"/>
      <c r="S192" s="231"/>
      <c r="T192" s="229"/>
      <c r="U192" s="196">
        <v>191</v>
      </c>
    </row>
    <row r="193" spans="1:21" ht="15" customHeight="1">
      <c r="A193" s="190" t="str">
        <f t="shared" si="8"/>
        <v>192- -W</v>
      </c>
      <c r="B193" s="123"/>
      <c r="C193" s="125"/>
      <c r="D193" s="190" t="str" cm="1">
        <f t="array" ref="D193">IFERROR(VLOOKUP(C193,Old_Model_Registry!$B$2:$K$500,{3,10,8,9},0),"")</f>
        <v/>
      </c>
      <c r="E193" s="190"/>
      <c r="F193" s="190"/>
      <c r="G193" s="191"/>
      <c r="H193" s="192">
        <f t="shared" si="9"/>
        <v>0</v>
      </c>
      <c r="I193" s="121"/>
      <c r="J193" s="193" t="str" cm="1">
        <f t="array" ref="J193">IF(I193="No-Retrofit",F193,IFERROR(VLOOKUP(I193,Vstack!$A$2:$L$1000,{8},0),""))</f>
        <v/>
      </c>
      <c r="K193" s="224" t="str" cm="1">
        <f t="array" ref="K193">IF(I193="No-Retrofit",F193,IFERROR(VLOOKUP(I193,Vstack!$A$2:$L$1000,{9},0)*N193,""))</f>
        <v/>
      </c>
      <c r="L193" s="193" t="str" cm="1">
        <f t="array" ref="L193">IF(I193="No-Retrofit",F193,IFERROR(VLOOKUP(I193,Vstack!$A$2:$L$1000,{10,4},0),""))</f>
        <v/>
      </c>
      <c r="M193" s="193"/>
      <c r="N193" s="121"/>
      <c r="O193" s="193" t="str">
        <f t="shared" si="10"/>
        <v/>
      </c>
      <c r="P193" s="195" t="str">
        <f t="shared" si="11"/>
        <v/>
      </c>
      <c r="Q193" s="246"/>
      <c r="R193" s="229"/>
      <c r="S193" s="245"/>
      <c r="T193" s="229"/>
      <c r="U193" s="196">
        <v>192</v>
      </c>
    </row>
    <row r="194" spans="1:21" ht="15" customHeight="1">
      <c r="A194" s="190" t="str">
        <f t="shared" si="8"/>
        <v>193- -W</v>
      </c>
      <c r="B194" s="123"/>
      <c r="C194" s="125"/>
      <c r="D194" s="190" t="str" cm="1">
        <f t="array" ref="D194">IFERROR(VLOOKUP(C194,Old_Model_Registry!$B$2:$K$500,{3,10,8,9},0),"")</f>
        <v/>
      </c>
      <c r="E194" s="190"/>
      <c r="F194" s="190"/>
      <c r="G194" s="191"/>
      <c r="H194" s="192">
        <f t="shared" si="9"/>
        <v>0</v>
      </c>
      <c r="I194" s="121"/>
      <c r="J194" s="193" t="str" cm="1">
        <f t="array" ref="J194">IF(I194="No-Retrofit",F194,IFERROR(VLOOKUP(I194,Vstack!$A$2:$L$1000,{8},0),""))</f>
        <v/>
      </c>
      <c r="K194" s="224" t="str" cm="1">
        <f t="array" ref="K194">IF(I194="No-Retrofit",F194,IFERROR(VLOOKUP(I194,Vstack!$A$2:$L$1000,{9},0)*N194,""))</f>
        <v/>
      </c>
      <c r="L194" s="193" t="str" cm="1">
        <f t="array" ref="L194">IF(I194="No-Retrofit",F194,IFERROR(VLOOKUP(I194,Vstack!$A$2:$L$1000,{10,4},0),""))</f>
        <v/>
      </c>
      <c r="M194" s="193"/>
      <c r="N194" s="121"/>
      <c r="O194" s="193" t="str">
        <f t="shared" si="10"/>
        <v/>
      </c>
      <c r="P194" s="195" t="str">
        <f t="shared" si="11"/>
        <v/>
      </c>
      <c r="Q194" s="246"/>
      <c r="R194" s="229"/>
      <c r="S194" s="245"/>
      <c r="T194" s="229"/>
      <c r="U194" s="196">
        <v>193</v>
      </c>
    </row>
    <row r="195" spans="1:21" ht="15" customHeight="1">
      <c r="A195" s="190" t="str">
        <f t="shared" ref="A195:A258" si="12">U195&amp;"- "&amp;B195&amp;"-"&amp;F195&amp;"W"</f>
        <v>194- -W</v>
      </c>
      <c r="B195" s="123"/>
      <c r="C195" s="125"/>
      <c r="D195" s="190" t="str" cm="1">
        <f t="array" ref="D195">IFERROR(VLOOKUP(C195,Old_Model_Registry!$B$2:$K$500,{3,10,8,9},0),"")</f>
        <v/>
      </c>
      <c r="E195" s="190"/>
      <c r="F195" s="190"/>
      <c r="G195" s="191"/>
      <c r="H195" s="192">
        <f t="shared" ref="H195:H258" si="13">E195*F195</f>
        <v>0</v>
      </c>
      <c r="I195" s="121"/>
      <c r="J195" s="193" t="str" cm="1">
        <f t="array" ref="J195">IF(I195="No-Retrofit",F195,IFERROR(VLOOKUP(I195,Vstack!$A$2:$L$1000,{8},0),""))</f>
        <v/>
      </c>
      <c r="K195" s="224" t="str" cm="1">
        <f t="array" ref="K195">IF(I195="No-Retrofit",F195,IFERROR(VLOOKUP(I195,Vstack!$A$2:$L$1000,{9},0)*N195,""))</f>
        <v/>
      </c>
      <c r="L195" s="193" t="str" cm="1">
        <f t="array" ref="L195">IF(I195="No-Retrofit",F195,IFERROR(VLOOKUP(I195,Vstack!$A$2:$L$1000,{10,4},0),""))</f>
        <v/>
      </c>
      <c r="M195" s="193"/>
      <c r="N195" s="121"/>
      <c r="O195" s="193" t="str">
        <f t="shared" ref="O195:O258" si="14">IFERROR(N195*J195,"")</f>
        <v/>
      </c>
      <c r="P195" s="195" t="str">
        <f t="shared" ref="P195:P258" si="15">IFERROR(-(O195/H195-1),"")</f>
        <v/>
      </c>
      <c r="Q195" s="246"/>
      <c r="R195" s="229"/>
      <c r="S195" s="231"/>
      <c r="T195" s="229"/>
      <c r="U195" s="196">
        <v>194</v>
      </c>
    </row>
    <row r="196" spans="1:21" ht="15" customHeight="1">
      <c r="A196" s="190" t="str">
        <f t="shared" si="12"/>
        <v>195- -W</v>
      </c>
      <c r="B196" s="123"/>
      <c r="C196" s="125"/>
      <c r="D196" s="190" t="str" cm="1">
        <f t="array" ref="D196">IFERROR(VLOOKUP(C196,Old_Model_Registry!$B$2:$K$500,{3,10,8,9},0),"")</f>
        <v/>
      </c>
      <c r="E196" s="190"/>
      <c r="F196" s="190"/>
      <c r="G196" s="191"/>
      <c r="H196" s="192">
        <f t="shared" si="13"/>
        <v>0</v>
      </c>
      <c r="I196" s="121"/>
      <c r="J196" s="193" t="str" cm="1">
        <f t="array" ref="J196">IF(I196="No-Retrofit",F196,IFERROR(VLOOKUP(I196,Vstack!$A$2:$L$1000,{8},0),""))</f>
        <v/>
      </c>
      <c r="K196" s="224" t="str" cm="1">
        <f t="array" ref="K196">IF(I196="No-Retrofit",F196,IFERROR(VLOOKUP(I196,Vstack!$A$2:$L$1000,{9},0)*N196,""))</f>
        <v/>
      </c>
      <c r="L196" s="193" t="str" cm="1">
        <f t="array" ref="L196">IF(I196="No-Retrofit",F196,IFERROR(VLOOKUP(I196,Vstack!$A$2:$L$1000,{10,4},0),""))</f>
        <v/>
      </c>
      <c r="M196" s="193"/>
      <c r="N196" s="121"/>
      <c r="O196" s="193" t="str">
        <f t="shared" si="14"/>
        <v/>
      </c>
      <c r="P196" s="195" t="str">
        <f t="shared" si="15"/>
        <v/>
      </c>
      <c r="Q196" s="246"/>
      <c r="R196" s="229"/>
      <c r="S196" s="231"/>
      <c r="T196" s="229"/>
      <c r="U196" s="196">
        <v>195</v>
      </c>
    </row>
    <row r="197" spans="1:21" ht="15" customHeight="1">
      <c r="A197" s="190" t="str">
        <f t="shared" si="12"/>
        <v>196- -W</v>
      </c>
      <c r="B197" s="123"/>
      <c r="C197" s="125"/>
      <c r="D197" s="190" t="str" cm="1">
        <f t="array" ref="D197">IFERROR(VLOOKUP(C197,Old_Model_Registry!$B$2:$K$500,{3,10,8,9},0),"")</f>
        <v/>
      </c>
      <c r="E197" s="190"/>
      <c r="F197" s="190"/>
      <c r="G197" s="191"/>
      <c r="H197" s="192">
        <f t="shared" si="13"/>
        <v>0</v>
      </c>
      <c r="I197" s="121"/>
      <c r="J197" s="193" t="str" cm="1">
        <f t="array" ref="J197">IF(I197="No-Retrofit",F197,IFERROR(VLOOKUP(I197,Vstack!$A$2:$L$1000,{8},0),""))</f>
        <v/>
      </c>
      <c r="K197" s="224" t="str" cm="1">
        <f t="array" ref="K197">IF(I197="No-Retrofit",F197,IFERROR(VLOOKUP(I197,Vstack!$A$2:$L$1000,{9},0)*N197,""))</f>
        <v/>
      </c>
      <c r="L197" s="193" t="str" cm="1">
        <f t="array" ref="L197">IF(I197="No-Retrofit",F197,IFERROR(VLOOKUP(I197,Vstack!$A$2:$L$1000,{10,4},0),""))</f>
        <v/>
      </c>
      <c r="M197" s="193"/>
      <c r="N197" s="121"/>
      <c r="O197" s="193" t="str">
        <f t="shared" si="14"/>
        <v/>
      </c>
      <c r="P197" s="195" t="str">
        <f t="shared" si="15"/>
        <v/>
      </c>
      <c r="Q197" s="246"/>
      <c r="R197" s="229"/>
      <c r="S197" s="231"/>
      <c r="T197" s="229"/>
      <c r="U197" s="196">
        <v>196</v>
      </c>
    </row>
    <row r="198" spans="1:21" ht="15" customHeight="1">
      <c r="A198" s="190" t="str">
        <f t="shared" si="12"/>
        <v>197- -W</v>
      </c>
      <c r="B198" s="123"/>
      <c r="C198" s="125"/>
      <c r="D198" s="190" t="str" cm="1">
        <f t="array" ref="D198">IFERROR(VLOOKUP(C198,Old_Model_Registry!$B$2:$K$500,{3,10,8,9},0),"")</f>
        <v/>
      </c>
      <c r="E198" s="190"/>
      <c r="F198" s="190"/>
      <c r="G198" s="191"/>
      <c r="H198" s="192">
        <f t="shared" si="13"/>
        <v>0</v>
      </c>
      <c r="I198" s="121"/>
      <c r="J198" s="193" t="str" cm="1">
        <f t="array" ref="J198">IF(I198="No-Retrofit",F198,IFERROR(VLOOKUP(I198,Vstack!$A$2:$L$1000,{8},0),""))</f>
        <v/>
      </c>
      <c r="K198" s="224" t="str" cm="1">
        <f t="array" ref="K198">IF(I198="No-Retrofit",F198,IFERROR(VLOOKUP(I198,Vstack!$A$2:$L$1000,{9},0)*N198,""))</f>
        <v/>
      </c>
      <c r="L198" s="193" t="str" cm="1">
        <f t="array" ref="L198">IF(I198="No-Retrofit",F198,IFERROR(VLOOKUP(I198,Vstack!$A$2:$L$1000,{10,4},0),""))</f>
        <v/>
      </c>
      <c r="M198" s="193"/>
      <c r="N198" s="121"/>
      <c r="O198" s="193" t="str">
        <f t="shared" si="14"/>
        <v/>
      </c>
      <c r="P198" s="195" t="str">
        <f t="shared" si="15"/>
        <v/>
      </c>
      <c r="Q198" s="246"/>
      <c r="R198" s="229"/>
      <c r="S198" s="245"/>
      <c r="T198" s="229"/>
      <c r="U198" s="196">
        <v>197</v>
      </c>
    </row>
    <row r="199" spans="1:21" ht="15" customHeight="1">
      <c r="A199" s="190" t="str">
        <f t="shared" si="12"/>
        <v>198- -W</v>
      </c>
      <c r="B199" s="123"/>
      <c r="C199" s="125"/>
      <c r="D199" s="190" t="str" cm="1">
        <f t="array" ref="D199">IFERROR(VLOOKUP(C199,Old_Model_Registry!$B$2:$K$500,{3,10,8,9},0),"")</f>
        <v/>
      </c>
      <c r="E199" s="190"/>
      <c r="F199" s="190"/>
      <c r="G199" s="191"/>
      <c r="H199" s="192">
        <f t="shared" si="13"/>
        <v>0</v>
      </c>
      <c r="I199" s="121"/>
      <c r="J199" s="193" t="str" cm="1">
        <f t="array" ref="J199">IF(I199="No-Retrofit",F199,IFERROR(VLOOKUP(I199,Vstack!$A$2:$L$1000,{8},0),""))</f>
        <v/>
      </c>
      <c r="K199" s="224" t="str" cm="1">
        <f t="array" ref="K199">IF(I199="No-Retrofit",F199,IFERROR(VLOOKUP(I199,Vstack!$A$2:$L$1000,{9},0)*N199,""))</f>
        <v/>
      </c>
      <c r="L199" s="193" t="str" cm="1">
        <f t="array" ref="L199">IF(I199="No-Retrofit",F199,IFERROR(VLOOKUP(I199,Vstack!$A$2:$L$1000,{10,4},0),""))</f>
        <v/>
      </c>
      <c r="M199" s="193"/>
      <c r="N199" s="121"/>
      <c r="O199" s="193" t="str">
        <f t="shared" si="14"/>
        <v/>
      </c>
      <c r="P199" s="195" t="str">
        <f t="shared" si="15"/>
        <v/>
      </c>
      <c r="Q199" s="246"/>
      <c r="R199" s="229"/>
      <c r="S199" s="231"/>
      <c r="T199" s="229"/>
      <c r="U199" s="196">
        <v>198</v>
      </c>
    </row>
    <row r="200" spans="1:21" ht="15" customHeight="1">
      <c r="A200" s="190" t="str">
        <f t="shared" si="12"/>
        <v>199- -W</v>
      </c>
      <c r="B200" s="123"/>
      <c r="C200" s="125"/>
      <c r="D200" s="190" t="str" cm="1">
        <f t="array" ref="D200">IFERROR(VLOOKUP(C200,Old_Model_Registry!$B$2:$K$500,{3,10,8,9},0),"")</f>
        <v/>
      </c>
      <c r="E200" s="190"/>
      <c r="F200" s="190"/>
      <c r="G200" s="191"/>
      <c r="H200" s="192">
        <f t="shared" si="13"/>
        <v>0</v>
      </c>
      <c r="I200" s="121"/>
      <c r="J200" s="193" t="str" cm="1">
        <f t="array" ref="J200">IF(I200="No-Retrofit",F200,IFERROR(VLOOKUP(I200,Vstack!$A$2:$L$1000,{8},0),""))</f>
        <v/>
      </c>
      <c r="K200" s="224" t="str" cm="1">
        <f t="array" ref="K200">IF(I200="No-Retrofit",F200,IFERROR(VLOOKUP(I200,Vstack!$A$2:$L$1000,{9},0)*N200,""))</f>
        <v/>
      </c>
      <c r="L200" s="193" t="str" cm="1">
        <f t="array" ref="L200">IF(I200="No-Retrofit",F200,IFERROR(VLOOKUP(I200,Vstack!$A$2:$L$1000,{10,4},0),""))</f>
        <v/>
      </c>
      <c r="M200" s="193"/>
      <c r="N200" s="121"/>
      <c r="O200" s="193" t="str">
        <f t="shared" si="14"/>
        <v/>
      </c>
      <c r="P200" s="195" t="str">
        <f t="shared" si="15"/>
        <v/>
      </c>
      <c r="Q200" s="246"/>
      <c r="R200" s="229"/>
      <c r="S200" s="231"/>
      <c r="T200" s="229"/>
      <c r="U200" s="196">
        <v>199</v>
      </c>
    </row>
    <row r="201" spans="1:21" ht="15" customHeight="1">
      <c r="A201" s="190" t="str">
        <f t="shared" si="12"/>
        <v>200- -W</v>
      </c>
      <c r="B201" s="123"/>
      <c r="C201" s="125"/>
      <c r="D201" s="190" t="str" cm="1">
        <f t="array" ref="D201">IFERROR(VLOOKUP(C201,Old_Model_Registry!$B$2:$K$500,{3,10,8,9},0),"")</f>
        <v/>
      </c>
      <c r="E201" s="190"/>
      <c r="F201" s="190"/>
      <c r="G201" s="191"/>
      <c r="H201" s="192">
        <f t="shared" si="13"/>
        <v>0</v>
      </c>
      <c r="I201" s="121"/>
      <c r="J201" s="193" t="str" cm="1">
        <f t="array" ref="J201">IF(I201="No-Retrofit",F201,IFERROR(VLOOKUP(I201,Vstack!$A$2:$L$1000,{8},0),""))</f>
        <v/>
      </c>
      <c r="K201" s="224" t="str" cm="1">
        <f t="array" ref="K201">IF(I201="No-Retrofit",F201,IFERROR(VLOOKUP(I201,Vstack!$A$2:$L$1000,{9},0)*N201,""))</f>
        <v/>
      </c>
      <c r="L201" s="193" t="str" cm="1">
        <f t="array" ref="L201">IF(I201="No-Retrofit",F201,IFERROR(VLOOKUP(I201,Vstack!$A$2:$L$1000,{10,4},0),""))</f>
        <v/>
      </c>
      <c r="M201" s="193"/>
      <c r="N201" s="121"/>
      <c r="O201" s="193" t="str">
        <f t="shared" si="14"/>
        <v/>
      </c>
      <c r="P201" s="195" t="str">
        <f t="shared" si="15"/>
        <v/>
      </c>
      <c r="Q201" s="246"/>
      <c r="R201" s="229"/>
      <c r="S201" s="231"/>
      <c r="T201" s="229"/>
      <c r="U201" s="196">
        <v>200</v>
      </c>
    </row>
    <row r="202" spans="1:21" ht="15" customHeight="1">
      <c r="A202" s="190" t="str">
        <f t="shared" si="12"/>
        <v>201- -W</v>
      </c>
      <c r="B202" s="123"/>
      <c r="C202" s="125"/>
      <c r="D202" s="190" t="str" cm="1">
        <f t="array" ref="D202">IFERROR(VLOOKUP(C202,Old_Model_Registry!$B$2:$K$500,{3,10,8,9},0),"")</f>
        <v/>
      </c>
      <c r="E202" s="190"/>
      <c r="F202" s="190"/>
      <c r="G202" s="191"/>
      <c r="H202" s="192">
        <f t="shared" si="13"/>
        <v>0</v>
      </c>
      <c r="I202" s="121"/>
      <c r="J202" s="193" t="str" cm="1">
        <f t="array" ref="J202">IF(I202="No-Retrofit",F202,IFERROR(VLOOKUP(I202,Vstack!$A$2:$L$1000,{8},0),""))</f>
        <v/>
      </c>
      <c r="K202" s="224" t="str" cm="1">
        <f t="array" ref="K202">IF(I202="No-Retrofit",F202,IFERROR(VLOOKUP(I202,Vstack!$A$2:$L$1000,{9},0)*N202,""))</f>
        <v/>
      </c>
      <c r="L202" s="193" t="str" cm="1">
        <f t="array" ref="L202">IF(I202="No-Retrofit",F202,IFERROR(VLOOKUP(I202,Vstack!$A$2:$L$1000,{10,4},0),""))</f>
        <v/>
      </c>
      <c r="M202" s="193"/>
      <c r="N202" s="121"/>
      <c r="O202" s="193" t="str">
        <f t="shared" si="14"/>
        <v/>
      </c>
      <c r="P202" s="195" t="str">
        <f t="shared" si="15"/>
        <v/>
      </c>
      <c r="Q202" s="246"/>
      <c r="R202" s="229"/>
      <c r="S202" s="231"/>
      <c r="T202" s="229"/>
      <c r="U202" s="196">
        <v>201</v>
      </c>
    </row>
    <row r="203" spans="1:21" ht="15" customHeight="1">
      <c r="A203" s="190" t="str">
        <f t="shared" si="12"/>
        <v>202- -W</v>
      </c>
      <c r="B203" s="123"/>
      <c r="C203" s="125"/>
      <c r="D203" s="190" t="str" cm="1">
        <f t="array" ref="D203">IFERROR(VLOOKUP(C203,Old_Model_Registry!$B$2:$K$500,{3,10,8,9},0),"")</f>
        <v/>
      </c>
      <c r="E203" s="190"/>
      <c r="F203" s="190"/>
      <c r="G203" s="191"/>
      <c r="H203" s="192">
        <f t="shared" si="13"/>
        <v>0</v>
      </c>
      <c r="I203" s="121"/>
      <c r="J203" s="193" t="str" cm="1">
        <f t="array" ref="J203">IF(I203="No-Retrofit",F203,IFERROR(VLOOKUP(I203,Vstack!$A$2:$L$1000,{8},0),""))</f>
        <v/>
      </c>
      <c r="K203" s="224" t="str" cm="1">
        <f t="array" ref="K203">IF(I203="No-Retrofit",F203,IFERROR(VLOOKUP(I203,Vstack!$A$2:$L$1000,{9},0)*N203,""))</f>
        <v/>
      </c>
      <c r="L203" s="193" t="str" cm="1">
        <f t="array" ref="L203">IF(I203="No-Retrofit",F203,IFERROR(VLOOKUP(I203,Vstack!$A$2:$L$1000,{10,4},0),""))</f>
        <v/>
      </c>
      <c r="M203" s="193"/>
      <c r="N203" s="121"/>
      <c r="O203" s="193" t="str">
        <f t="shared" si="14"/>
        <v/>
      </c>
      <c r="P203" s="195" t="str">
        <f t="shared" si="15"/>
        <v/>
      </c>
      <c r="Q203" s="246"/>
      <c r="R203" s="229"/>
      <c r="S203" s="231"/>
      <c r="T203" s="229"/>
      <c r="U203" s="196">
        <v>202</v>
      </c>
    </row>
    <row r="204" spans="1:21" ht="15" customHeight="1">
      <c r="A204" s="190" t="str">
        <f t="shared" si="12"/>
        <v>203- -W</v>
      </c>
      <c r="B204" s="123"/>
      <c r="C204" s="125"/>
      <c r="D204" s="190" t="str" cm="1">
        <f t="array" ref="D204">IFERROR(VLOOKUP(C204,Old_Model_Registry!$B$2:$K$500,{3,10,8,9},0),"")</f>
        <v/>
      </c>
      <c r="E204" s="190"/>
      <c r="F204" s="190"/>
      <c r="G204" s="191"/>
      <c r="H204" s="192">
        <f t="shared" si="13"/>
        <v>0</v>
      </c>
      <c r="I204" s="121"/>
      <c r="J204" s="193" t="str" cm="1">
        <f t="array" ref="J204">IF(I204="No-Retrofit",F204,IFERROR(VLOOKUP(I204,Vstack!$A$2:$L$1000,{8},0),""))</f>
        <v/>
      </c>
      <c r="K204" s="224" t="str" cm="1">
        <f t="array" ref="K204">IF(I204="No-Retrofit",F204,IFERROR(VLOOKUP(I204,Vstack!$A$2:$L$1000,{9},0)*N204,""))</f>
        <v/>
      </c>
      <c r="L204" s="193" t="str" cm="1">
        <f t="array" ref="L204">IF(I204="No-Retrofit",F204,IFERROR(VLOOKUP(I204,Vstack!$A$2:$L$1000,{10,4},0),""))</f>
        <v/>
      </c>
      <c r="M204" s="193"/>
      <c r="N204" s="121"/>
      <c r="O204" s="193" t="str">
        <f t="shared" si="14"/>
        <v/>
      </c>
      <c r="P204" s="195" t="str">
        <f t="shared" si="15"/>
        <v/>
      </c>
      <c r="Q204" s="246"/>
      <c r="R204" s="229"/>
      <c r="S204" s="231"/>
      <c r="T204" s="229"/>
      <c r="U204" s="196">
        <v>203</v>
      </c>
    </row>
    <row r="205" spans="1:21" ht="15" customHeight="1">
      <c r="A205" s="190" t="str">
        <f t="shared" si="12"/>
        <v>204- -W</v>
      </c>
      <c r="B205" s="123"/>
      <c r="C205" s="125"/>
      <c r="D205" s="190" t="str" cm="1">
        <f t="array" ref="D205">IFERROR(VLOOKUP(C205,Old_Model_Registry!$B$2:$K$500,{3,10,8,9},0),"")</f>
        <v/>
      </c>
      <c r="E205" s="190"/>
      <c r="F205" s="190"/>
      <c r="G205" s="191"/>
      <c r="H205" s="192">
        <f t="shared" si="13"/>
        <v>0</v>
      </c>
      <c r="I205" s="121"/>
      <c r="J205" s="193" t="str" cm="1">
        <f t="array" ref="J205">IF(I205="No-Retrofit",F205,IFERROR(VLOOKUP(I205,Vstack!$A$2:$L$1000,{8},0),""))</f>
        <v/>
      </c>
      <c r="K205" s="224" t="str" cm="1">
        <f t="array" ref="K205">IF(I205="No-Retrofit",F205,IFERROR(VLOOKUP(I205,Vstack!$A$2:$L$1000,{9},0)*N205,""))</f>
        <v/>
      </c>
      <c r="L205" s="193" t="str" cm="1">
        <f t="array" ref="L205">IF(I205="No-Retrofit",F205,IFERROR(VLOOKUP(I205,Vstack!$A$2:$L$1000,{10,4},0),""))</f>
        <v/>
      </c>
      <c r="M205" s="193"/>
      <c r="N205" s="121"/>
      <c r="O205" s="193" t="str">
        <f t="shared" si="14"/>
        <v/>
      </c>
      <c r="P205" s="195" t="str">
        <f t="shared" si="15"/>
        <v/>
      </c>
      <c r="Q205" s="246"/>
      <c r="R205" s="229"/>
      <c r="S205" s="245"/>
      <c r="T205" s="229"/>
      <c r="U205" s="196">
        <v>204</v>
      </c>
    </row>
    <row r="206" spans="1:21" ht="15" customHeight="1">
      <c r="A206" s="190" t="str">
        <f t="shared" si="12"/>
        <v>205- -W</v>
      </c>
      <c r="B206" s="123"/>
      <c r="C206" s="125"/>
      <c r="D206" s="190" t="str" cm="1">
        <f t="array" ref="D206">IFERROR(VLOOKUP(C206,Old_Model_Registry!$B$2:$K$500,{3,10,8,9},0),"")</f>
        <v/>
      </c>
      <c r="E206" s="190"/>
      <c r="F206" s="190"/>
      <c r="G206" s="191"/>
      <c r="H206" s="192">
        <f t="shared" si="13"/>
        <v>0</v>
      </c>
      <c r="I206" s="121"/>
      <c r="J206" s="193" t="str" cm="1">
        <f t="array" ref="J206">IF(I206="No-Retrofit",F206,IFERROR(VLOOKUP(I206,Vstack!$A$2:$L$1000,{8},0),""))</f>
        <v/>
      </c>
      <c r="K206" s="224" t="str" cm="1">
        <f t="array" ref="K206">IF(I206="No-Retrofit",F206,IFERROR(VLOOKUP(I206,Vstack!$A$2:$L$1000,{9},0)*N206,""))</f>
        <v/>
      </c>
      <c r="L206" s="193" t="str" cm="1">
        <f t="array" ref="L206">IF(I206="No-Retrofit",F206,IFERROR(VLOOKUP(I206,Vstack!$A$2:$L$1000,{10,4},0),""))</f>
        <v/>
      </c>
      <c r="M206" s="193"/>
      <c r="N206" s="121"/>
      <c r="O206" s="193" t="str">
        <f t="shared" si="14"/>
        <v/>
      </c>
      <c r="P206" s="195" t="str">
        <f t="shared" si="15"/>
        <v/>
      </c>
      <c r="Q206" s="246"/>
      <c r="R206" s="229"/>
      <c r="S206" s="245"/>
      <c r="T206" s="229"/>
      <c r="U206" s="196">
        <v>205</v>
      </c>
    </row>
    <row r="207" spans="1:21" ht="15" customHeight="1">
      <c r="A207" s="190" t="str">
        <f t="shared" si="12"/>
        <v>206- -W</v>
      </c>
      <c r="B207" s="123"/>
      <c r="C207" s="125"/>
      <c r="D207" s="190" t="str" cm="1">
        <f t="array" ref="D207">IFERROR(VLOOKUP(C207,Old_Model_Registry!$B$2:$K$500,{3,10,8,9},0),"")</f>
        <v/>
      </c>
      <c r="E207" s="190"/>
      <c r="F207" s="190"/>
      <c r="G207" s="191"/>
      <c r="H207" s="192">
        <f t="shared" si="13"/>
        <v>0</v>
      </c>
      <c r="I207" s="121"/>
      <c r="J207" s="193" t="str" cm="1">
        <f t="array" ref="J207">IF(I207="No-Retrofit",F207,IFERROR(VLOOKUP(I207,Vstack!$A$2:$L$1000,{8},0),""))</f>
        <v/>
      </c>
      <c r="K207" s="224" t="str" cm="1">
        <f t="array" ref="K207">IF(I207="No-Retrofit",F207,IFERROR(VLOOKUP(I207,Vstack!$A$2:$L$1000,{9},0)*N207,""))</f>
        <v/>
      </c>
      <c r="L207" s="193" t="str" cm="1">
        <f t="array" ref="L207">IF(I207="No-Retrofit",F207,IFERROR(VLOOKUP(I207,Vstack!$A$2:$L$1000,{10,4},0),""))</f>
        <v/>
      </c>
      <c r="M207" s="193"/>
      <c r="N207" s="121"/>
      <c r="O207" s="193" t="str">
        <f t="shared" si="14"/>
        <v/>
      </c>
      <c r="P207" s="195" t="str">
        <f t="shared" si="15"/>
        <v/>
      </c>
      <c r="Q207" s="246"/>
      <c r="R207" s="229"/>
      <c r="S207" s="245"/>
      <c r="T207" s="229"/>
      <c r="U207" s="196">
        <v>206</v>
      </c>
    </row>
    <row r="208" spans="1:21" ht="15" customHeight="1">
      <c r="A208" s="190" t="str">
        <f t="shared" si="12"/>
        <v>207- -W</v>
      </c>
      <c r="B208" s="123"/>
      <c r="C208" s="125"/>
      <c r="D208" s="190" t="str" cm="1">
        <f t="array" ref="D208">IFERROR(VLOOKUP(C208,Old_Model_Registry!$B$2:$K$500,{3,10,8,9},0),"")</f>
        <v/>
      </c>
      <c r="E208" s="190"/>
      <c r="F208" s="190"/>
      <c r="G208" s="191"/>
      <c r="H208" s="192">
        <f t="shared" si="13"/>
        <v>0</v>
      </c>
      <c r="I208" s="121"/>
      <c r="J208" s="193" t="str" cm="1">
        <f t="array" ref="J208">IF(I208="No-Retrofit",F208,IFERROR(VLOOKUP(I208,Vstack!$A$2:$L$1000,{8},0),""))</f>
        <v/>
      </c>
      <c r="K208" s="224" t="str" cm="1">
        <f t="array" ref="K208">IF(I208="No-Retrofit",F208,IFERROR(VLOOKUP(I208,Vstack!$A$2:$L$1000,{9},0)*N208,""))</f>
        <v/>
      </c>
      <c r="L208" s="193" t="str" cm="1">
        <f t="array" ref="L208">IF(I208="No-Retrofit",F208,IFERROR(VLOOKUP(I208,Vstack!$A$2:$L$1000,{10,4},0),""))</f>
        <v/>
      </c>
      <c r="M208" s="193"/>
      <c r="N208" s="121"/>
      <c r="O208" s="193" t="str">
        <f t="shared" si="14"/>
        <v/>
      </c>
      <c r="P208" s="195" t="str">
        <f t="shared" si="15"/>
        <v/>
      </c>
      <c r="Q208" s="246"/>
      <c r="R208" s="229"/>
      <c r="S208" s="231"/>
      <c r="T208" s="229"/>
      <c r="U208" s="196">
        <v>207</v>
      </c>
    </row>
    <row r="209" spans="1:21" ht="15" customHeight="1">
      <c r="A209" s="190" t="str">
        <f t="shared" si="12"/>
        <v>208- -W</v>
      </c>
      <c r="B209" s="123"/>
      <c r="C209" s="125"/>
      <c r="D209" s="190" t="str" cm="1">
        <f t="array" ref="D209">IFERROR(VLOOKUP(C209,Old_Model_Registry!$B$2:$K$500,{3,10,8,9},0),"")</f>
        <v/>
      </c>
      <c r="E209" s="190"/>
      <c r="F209" s="190"/>
      <c r="G209" s="191"/>
      <c r="H209" s="192">
        <f t="shared" si="13"/>
        <v>0</v>
      </c>
      <c r="I209" s="121"/>
      <c r="J209" s="193" t="str" cm="1">
        <f t="array" ref="J209">IF(I209="No-Retrofit",F209,IFERROR(VLOOKUP(I209,Vstack!$A$2:$L$1000,{8},0),""))</f>
        <v/>
      </c>
      <c r="K209" s="224" t="str" cm="1">
        <f t="array" ref="K209">IF(I209="No-Retrofit",F209,IFERROR(VLOOKUP(I209,Vstack!$A$2:$L$1000,{9},0)*N209,""))</f>
        <v/>
      </c>
      <c r="L209" s="193" t="str" cm="1">
        <f t="array" ref="L209">IF(I209="No-Retrofit",F209,IFERROR(VLOOKUP(I209,Vstack!$A$2:$L$1000,{10,4},0),""))</f>
        <v/>
      </c>
      <c r="M209" s="193"/>
      <c r="N209" s="121"/>
      <c r="O209" s="193" t="str">
        <f t="shared" si="14"/>
        <v/>
      </c>
      <c r="P209" s="195" t="str">
        <f t="shared" si="15"/>
        <v/>
      </c>
      <c r="Q209" s="246"/>
      <c r="R209" s="229"/>
      <c r="S209" s="245"/>
      <c r="T209" s="229"/>
      <c r="U209" s="196">
        <v>208</v>
      </c>
    </row>
    <row r="210" spans="1:21" ht="15" customHeight="1">
      <c r="A210" s="190" t="str">
        <f t="shared" si="12"/>
        <v>209- -W</v>
      </c>
      <c r="B210" s="123"/>
      <c r="C210" s="125"/>
      <c r="D210" s="190" t="str" cm="1">
        <f t="array" ref="D210">IFERROR(VLOOKUP(C210,Old_Model_Registry!$B$2:$K$500,{3,10,8,9},0),"")</f>
        <v/>
      </c>
      <c r="E210" s="190"/>
      <c r="F210" s="190"/>
      <c r="G210" s="191"/>
      <c r="H210" s="192">
        <f t="shared" si="13"/>
        <v>0</v>
      </c>
      <c r="I210" s="121"/>
      <c r="J210" s="193" t="str" cm="1">
        <f t="array" ref="J210">IF(I210="No-Retrofit",F210,IFERROR(VLOOKUP(I210,Vstack!$A$2:$L$1000,{8},0),""))</f>
        <v/>
      </c>
      <c r="K210" s="224" t="str" cm="1">
        <f t="array" ref="K210">IF(I210="No-Retrofit",F210,IFERROR(VLOOKUP(I210,Vstack!$A$2:$L$1000,{9},0)*N210,""))</f>
        <v/>
      </c>
      <c r="L210" s="193" t="str" cm="1">
        <f t="array" ref="L210">IF(I210="No-Retrofit",F210,IFERROR(VLOOKUP(I210,Vstack!$A$2:$L$1000,{10,4},0),""))</f>
        <v/>
      </c>
      <c r="M210" s="193"/>
      <c r="N210" s="121"/>
      <c r="O210" s="193" t="str">
        <f t="shared" si="14"/>
        <v/>
      </c>
      <c r="P210" s="195" t="str">
        <f t="shared" si="15"/>
        <v/>
      </c>
      <c r="Q210" s="246"/>
      <c r="R210" s="229"/>
      <c r="S210" s="245"/>
      <c r="T210" s="229"/>
      <c r="U210" s="196">
        <v>209</v>
      </c>
    </row>
    <row r="211" spans="1:21" ht="15" customHeight="1">
      <c r="A211" s="190" t="str">
        <f t="shared" si="12"/>
        <v>210- -W</v>
      </c>
      <c r="B211" s="123"/>
      <c r="C211" s="125"/>
      <c r="D211" s="190" t="str" cm="1">
        <f t="array" ref="D211">IFERROR(VLOOKUP(C211,Old_Model_Registry!$B$2:$K$500,{3,10,8,9},0),"")</f>
        <v/>
      </c>
      <c r="E211" s="190"/>
      <c r="F211" s="190"/>
      <c r="G211" s="191"/>
      <c r="H211" s="192">
        <f t="shared" si="13"/>
        <v>0</v>
      </c>
      <c r="I211" s="121"/>
      <c r="J211" s="193" t="str" cm="1">
        <f t="array" ref="J211">IF(I211="No-Retrofit",F211,IFERROR(VLOOKUP(I211,Vstack!$A$2:$L$1000,{8},0),""))</f>
        <v/>
      </c>
      <c r="K211" s="224" t="str" cm="1">
        <f t="array" ref="K211">IF(I211="No-Retrofit",F211,IFERROR(VLOOKUP(I211,Vstack!$A$2:$L$1000,{9},0)*N211,""))</f>
        <v/>
      </c>
      <c r="L211" s="193" t="str" cm="1">
        <f t="array" ref="L211">IF(I211="No-Retrofit",F211,IFERROR(VLOOKUP(I211,Vstack!$A$2:$L$1000,{10,4},0),""))</f>
        <v/>
      </c>
      <c r="M211" s="193"/>
      <c r="N211" s="121"/>
      <c r="O211" s="193" t="str">
        <f t="shared" si="14"/>
        <v/>
      </c>
      <c r="P211" s="195" t="str">
        <f t="shared" si="15"/>
        <v/>
      </c>
      <c r="Q211" s="246"/>
      <c r="R211" s="229"/>
      <c r="S211" s="231"/>
      <c r="T211" s="229"/>
      <c r="U211" s="196">
        <v>210</v>
      </c>
    </row>
    <row r="212" spans="1:21" ht="15" customHeight="1">
      <c r="A212" s="190" t="str">
        <f t="shared" si="12"/>
        <v>211- -W</v>
      </c>
      <c r="B212" s="123"/>
      <c r="C212" s="125"/>
      <c r="D212" s="190" t="str" cm="1">
        <f t="array" ref="D212">IFERROR(VLOOKUP(C212,Old_Model_Registry!$B$2:$K$500,{3,10,8,9},0),"")</f>
        <v/>
      </c>
      <c r="E212" s="190"/>
      <c r="F212" s="190"/>
      <c r="G212" s="191"/>
      <c r="H212" s="192">
        <f t="shared" si="13"/>
        <v>0</v>
      </c>
      <c r="I212" s="121"/>
      <c r="J212" s="193" t="str" cm="1">
        <f t="array" ref="J212">IF(I212="No-Retrofit",F212,IFERROR(VLOOKUP(I212,Vstack!$A$2:$L$1000,{8},0),""))</f>
        <v/>
      </c>
      <c r="K212" s="224" t="str" cm="1">
        <f t="array" ref="K212">IF(I212="No-Retrofit",F212,IFERROR(VLOOKUP(I212,Vstack!$A$2:$L$1000,{9},0)*N212,""))</f>
        <v/>
      </c>
      <c r="L212" s="193" t="str" cm="1">
        <f t="array" ref="L212">IF(I212="No-Retrofit",F212,IFERROR(VLOOKUP(I212,Vstack!$A$2:$L$1000,{10,4},0),""))</f>
        <v/>
      </c>
      <c r="M212" s="193"/>
      <c r="N212" s="121"/>
      <c r="O212" s="193" t="str">
        <f t="shared" si="14"/>
        <v/>
      </c>
      <c r="P212" s="195" t="str">
        <f t="shared" si="15"/>
        <v/>
      </c>
      <c r="Q212" s="246"/>
      <c r="R212" s="229"/>
      <c r="S212" s="245"/>
      <c r="T212" s="229"/>
      <c r="U212" s="196">
        <v>211</v>
      </c>
    </row>
    <row r="213" spans="1:21" ht="15" customHeight="1">
      <c r="A213" s="190" t="str">
        <f t="shared" si="12"/>
        <v>212- -W</v>
      </c>
      <c r="B213" s="123"/>
      <c r="C213" s="125"/>
      <c r="D213" s="190" t="str" cm="1">
        <f t="array" ref="D213">IFERROR(VLOOKUP(C213,Old_Model_Registry!$B$2:$K$500,{3,10,8,9},0),"")</f>
        <v/>
      </c>
      <c r="E213" s="190"/>
      <c r="F213" s="190"/>
      <c r="G213" s="191"/>
      <c r="H213" s="192">
        <f t="shared" si="13"/>
        <v>0</v>
      </c>
      <c r="I213" s="121"/>
      <c r="J213" s="193" t="str" cm="1">
        <f t="array" ref="J213">IF(I213="No-Retrofit",F213,IFERROR(VLOOKUP(I213,Vstack!$A$2:$L$1000,{8},0),""))</f>
        <v/>
      </c>
      <c r="K213" s="224" t="str" cm="1">
        <f t="array" ref="K213">IF(I213="No-Retrofit",F213,IFERROR(VLOOKUP(I213,Vstack!$A$2:$L$1000,{9},0)*N213,""))</f>
        <v/>
      </c>
      <c r="L213" s="193" t="str" cm="1">
        <f t="array" ref="L213">IF(I213="No-Retrofit",F213,IFERROR(VLOOKUP(I213,Vstack!$A$2:$L$1000,{10,4},0),""))</f>
        <v/>
      </c>
      <c r="M213" s="193"/>
      <c r="N213" s="121"/>
      <c r="O213" s="193" t="str">
        <f t="shared" si="14"/>
        <v/>
      </c>
      <c r="P213" s="195" t="str">
        <f t="shared" si="15"/>
        <v/>
      </c>
      <c r="Q213" s="246"/>
      <c r="R213" s="229"/>
      <c r="S213" s="245"/>
      <c r="T213" s="229"/>
      <c r="U213" s="196">
        <v>212</v>
      </c>
    </row>
    <row r="214" spans="1:21" ht="15" customHeight="1">
      <c r="A214" s="190" t="str">
        <f t="shared" si="12"/>
        <v>213- -W</v>
      </c>
      <c r="B214" s="123"/>
      <c r="C214" s="125"/>
      <c r="D214" s="190" t="str" cm="1">
        <f t="array" ref="D214">IFERROR(VLOOKUP(C214,Old_Model_Registry!$B$2:$K$500,{3,10,8,9},0),"")</f>
        <v/>
      </c>
      <c r="E214" s="190"/>
      <c r="F214" s="190"/>
      <c r="G214" s="191"/>
      <c r="H214" s="192">
        <f t="shared" si="13"/>
        <v>0</v>
      </c>
      <c r="I214" s="121"/>
      <c r="J214" s="193" t="str" cm="1">
        <f t="array" ref="J214">IF(I214="No-Retrofit",F214,IFERROR(VLOOKUP(I214,Vstack!$A$2:$L$1000,{8},0),""))</f>
        <v/>
      </c>
      <c r="K214" s="224" t="str" cm="1">
        <f t="array" ref="K214">IF(I214="No-Retrofit",F214,IFERROR(VLOOKUP(I214,Vstack!$A$2:$L$1000,{9},0)*N214,""))</f>
        <v/>
      </c>
      <c r="L214" s="193" t="str" cm="1">
        <f t="array" ref="L214">IF(I214="No-Retrofit",F214,IFERROR(VLOOKUP(I214,Vstack!$A$2:$L$1000,{10,4},0),""))</f>
        <v/>
      </c>
      <c r="M214" s="193"/>
      <c r="N214" s="121"/>
      <c r="O214" s="193" t="str">
        <f t="shared" si="14"/>
        <v/>
      </c>
      <c r="P214" s="195" t="str">
        <f t="shared" si="15"/>
        <v/>
      </c>
      <c r="Q214" s="246"/>
      <c r="R214" s="229"/>
      <c r="S214" s="231"/>
      <c r="T214" s="229"/>
      <c r="U214" s="196">
        <v>213</v>
      </c>
    </row>
    <row r="215" spans="1:21" ht="15" customHeight="1">
      <c r="A215" s="190" t="str">
        <f t="shared" si="12"/>
        <v>214- -W</v>
      </c>
      <c r="B215" s="123"/>
      <c r="C215" s="125"/>
      <c r="D215" s="190" t="str" cm="1">
        <f t="array" ref="D215">IFERROR(VLOOKUP(C215,Old_Model_Registry!$B$2:$K$500,{3,10,8,9},0),"")</f>
        <v/>
      </c>
      <c r="E215" s="190"/>
      <c r="F215" s="190"/>
      <c r="G215" s="191"/>
      <c r="H215" s="192">
        <f t="shared" si="13"/>
        <v>0</v>
      </c>
      <c r="I215" s="121"/>
      <c r="J215" s="193" t="str" cm="1">
        <f t="array" ref="J215">IF(I215="No-Retrofit",F215,IFERROR(VLOOKUP(I215,Vstack!$A$2:$L$1000,{8},0),""))</f>
        <v/>
      </c>
      <c r="K215" s="224" t="str" cm="1">
        <f t="array" ref="K215">IF(I215="No-Retrofit",F215,IFERROR(VLOOKUP(I215,Vstack!$A$2:$L$1000,{9},0)*N215,""))</f>
        <v/>
      </c>
      <c r="L215" s="193" t="str" cm="1">
        <f t="array" ref="L215">IF(I215="No-Retrofit",F215,IFERROR(VLOOKUP(I215,Vstack!$A$2:$L$1000,{10,4},0),""))</f>
        <v/>
      </c>
      <c r="M215" s="193"/>
      <c r="N215" s="121"/>
      <c r="O215" s="193" t="str">
        <f t="shared" si="14"/>
        <v/>
      </c>
      <c r="P215" s="195" t="str">
        <f t="shared" si="15"/>
        <v/>
      </c>
      <c r="Q215" s="246"/>
      <c r="R215" s="229"/>
      <c r="S215" s="245"/>
      <c r="T215" s="229"/>
      <c r="U215" s="196">
        <v>214</v>
      </c>
    </row>
    <row r="216" spans="1:21" ht="15" customHeight="1">
      <c r="A216" s="190" t="str">
        <f t="shared" si="12"/>
        <v>215- -W</v>
      </c>
      <c r="B216" s="123"/>
      <c r="C216" s="125"/>
      <c r="D216" s="190" t="str" cm="1">
        <f t="array" ref="D216">IFERROR(VLOOKUP(C216,Old_Model_Registry!$B$2:$K$500,{3,10,8,9},0),"")</f>
        <v/>
      </c>
      <c r="E216" s="190"/>
      <c r="F216" s="190"/>
      <c r="G216" s="191"/>
      <c r="H216" s="192">
        <f t="shared" si="13"/>
        <v>0</v>
      </c>
      <c r="I216" s="121"/>
      <c r="J216" s="193" t="str" cm="1">
        <f t="array" ref="J216">IF(I216="No-Retrofit",F216,IFERROR(VLOOKUP(I216,Vstack!$A$2:$L$1000,{8},0),""))</f>
        <v/>
      </c>
      <c r="K216" s="224" t="str" cm="1">
        <f t="array" ref="K216">IF(I216="No-Retrofit",F216,IFERROR(VLOOKUP(I216,Vstack!$A$2:$L$1000,{9},0)*N216,""))</f>
        <v/>
      </c>
      <c r="L216" s="193" t="str" cm="1">
        <f t="array" ref="L216">IF(I216="No-Retrofit",F216,IFERROR(VLOOKUP(I216,Vstack!$A$2:$L$1000,{10,4},0),""))</f>
        <v/>
      </c>
      <c r="M216" s="193"/>
      <c r="N216" s="121"/>
      <c r="O216" s="193" t="str">
        <f t="shared" si="14"/>
        <v/>
      </c>
      <c r="P216" s="195" t="str">
        <f t="shared" si="15"/>
        <v/>
      </c>
      <c r="Q216" s="246"/>
      <c r="R216" s="229"/>
      <c r="S216" s="245"/>
      <c r="T216" s="229"/>
      <c r="U216" s="196">
        <v>215</v>
      </c>
    </row>
    <row r="217" spans="1:21" ht="15" customHeight="1">
      <c r="A217" s="190" t="str">
        <f t="shared" si="12"/>
        <v>216- -W</v>
      </c>
      <c r="B217" s="123"/>
      <c r="C217" s="125"/>
      <c r="D217" s="190" t="str" cm="1">
        <f t="array" ref="D217">IFERROR(VLOOKUP(C217,Old_Model_Registry!$B$2:$K$500,{3,10,8,9},0),"")</f>
        <v/>
      </c>
      <c r="E217" s="190"/>
      <c r="F217" s="190"/>
      <c r="G217" s="191"/>
      <c r="H217" s="192">
        <f t="shared" si="13"/>
        <v>0</v>
      </c>
      <c r="I217" s="121"/>
      <c r="J217" s="193" t="str" cm="1">
        <f t="array" ref="J217">IF(I217="No-Retrofit",F217,IFERROR(VLOOKUP(I217,Vstack!$A$2:$L$1000,{8},0),""))</f>
        <v/>
      </c>
      <c r="K217" s="224" t="str" cm="1">
        <f t="array" ref="K217">IF(I217="No-Retrofit",F217,IFERROR(VLOOKUP(I217,Vstack!$A$2:$L$1000,{9},0)*N217,""))</f>
        <v/>
      </c>
      <c r="L217" s="193" t="str" cm="1">
        <f t="array" ref="L217">IF(I217="No-Retrofit",F217,IFERROR(VLOOKUP(I217,Vstack!$A$2:$L$1000,{10,4},0),""))</f>
        <v/>
      </c>
      <c r="M217" s="193"/>
      <c r="N217" s="121"/>
      <c r="O217" s="193" t="str">
        <f t="shared" si="14"/>
        <v/>
      </c>
      <c r="P217" s="195" t="str">
        <f t="shared" si="15"/>
        <v/>
      </c>
      <c r="Q217" s="246"/>
      <c r="R217" s="229"/>
      <c r="S217" s="245"/>
      <c r="T217" s="229"/>
      <c r="U217" s="196">
        <v>216</v>
      </c>
    </row>
    <row r="218" spans="1:21" ht="15" customHeight="1">
      <c r="A218" s="190" t="str">
        <f t="shared" si="12"/>
        <v>217- -W</v>
      </c>
      <c r="B218" s="123"/>
      <c r="C218" s="125"/>
      <c r="D218" s="190" t="str" cm="1">
        <f t="array" ref="D218">IFERROR(VLOOKUP(C218,Old_Model_Registry!$B$2:$K$500,{3,10,8,9},0),"")</f>
        <v/>
      </c>
      <c r="E218" s="190"/>
      <c r="F218" s="190"/>
      <c r="G218" s="191"/>
      <c r="H218" s="192">
        <f t="shared" si="13"/>
        <v>0</v>
      </c>
      <c r="I218" s="121"/>
      <c r="J218" s="193" t="str" cm="1">
        <f t="array" ref="J218">IF(I218="No-Retrofit",F218,IFERROR(VLOOKUP(I218,Vstack!$A$2:$L$1000,{8},0),""))</f>
        <v/>
      </c>
      <c r="K218" s="224" t="str" cm="1">
        <f t="array" ref="K218">IF(I218="No-Retrofit",F218,IFERROR(VLOOKUP(I218,Vstack!$A$2:$L$1000,{9},0)*N218,""))</f>
        <v/>
      </c>
      <c r="L218" s="193" t="str" cm="1">
        <f t="array" ref="L218">IF(I218="No-Retrofit",F218,IFERROR(VLOOKUP(I218,Vstack!$A$2:$L$1000,{10,4},0),""))</f>
        <v/>
      </c>
      <c r="M218" s="193"/>
      <c r="N218" s="121"/>
      <c r="O218" s="193" t="str">
        <f t="shared" si="14"/>
        <v/>
      </c>
      <c r="P218" s="195" t="str">
        <f t="shared" si="15"/>
        <v/>
      </c>
      <c r="Q218" s="246"/>
      <c r="R218" s="229"/>
      <c r="S218" s="231"/>
      <c r="T218" s="229"/>
      <c r="U218" s="196">
        <v>217</v>
      </c>
    </row>
    <row r="219" spans="1:21" ht="15" customHeight="1">
      <c r="A219" s="190" t="str">
        <f t="shared" si="12"/>
        <v>218- -W</v>
      </c>
      <c r="B219" s="123"/>
      <c r="C219" s="125"/>
      <c r="D219" s="190" t="str" cm="1">
        <f t="array" ref="D219">IFERROR(VLOOKUP(C219,Old_Model_Registry!$B$2:$K$500,{3,10,8,9},0),"")</f>
        <v/>
      </c>
      <c r="E219" s="190"/>
      <c r="F219" s="190"/>
      <c r="G219" s="191"/>
      <c r="H219" s="192">
        <f t="shared" si="13"/>
        <v>0</v>
      </c>
      <c r="I219" s="121"/>
      <c r="J219" s="193" t="str" cm="1">
        <f t="array" ref="J219">IF(I219="No-Retrofit",F219,IFERROR(VLOOKUP(I219,Vstack!$A$2:$L$1000,{8},0),""))</f>
        <v/>
      </c>
      <c r="K219" s="224" t="str" cm="1">
        <f t="array" ref="K219">IF(I219="No-Retrofit",F219,IFERROR(VLOOKUP(I219,Vstack!$A$2:$L$1000,{9},0)*N219,""))</f>
        <v/>
      </c>
      <c r="L219" s="193" t="str" cm="1">
        <f t="array" ref="L219">IF(I219="No-Retrofit",F219,IFERROR(VLOOKUP(I219,Vstack!$A$2:$L$1000,{10,4},0),""))</f>
        <v/>
      </c>
      <c r="M219" s="193"/>
      <c r="N219" s="121"/>
      <c r="O219" s="193" t="str">
        <f t="shared" si="14"/>
        <v/>
      </c>
      <c r="P219" s="195" t="str">
        <f t="shared" si="15"/>
        <v/>
      </c>
      <c r="Q219" s="246"/>
      <c r="R219" s="229"/>
      <c r="S219" s="245"/>
      <c r="T219" s="229"/>
      <c r="U219" s="196">
        <v>218</v>
      </c>
    </row>
    <row r="220" spans="1:21" ht="15" customHeight="1">
      <c r="A220" s="190" t="str">
        <f t="shared" si="12"/>
        <v>219- -W</v>
      </c>
      <c r="B220" s="123"/>
      <c r="C220" s="125"/>
      <c r="D220" s="190" t="str" cm="1">
        <f t="array" ref="D220">IFERROR(VLOOKUP(C220,Old_Model_Registry!$B$2:$K$500,{3,10,8,9},0),"")</f>
        <v/>
      </c>
      <c r="E220" s="190"/>
      <c r="F220" s="190"/>
      <c r="G220" s="191"/>
      <c r="H220" s="192">
        <f t="shared" si="13"/>
        <v>0</v>
      </c>
      <c r="I220" s="121"/>
      <c r="J220" s="193" t="str" cm="1">
        <f t="array" ref="J220">IF(I220="No-Retrofit",F220,IFERROR(VLOOKUP(I220,Vstack!$A$2:$L$1000,{8},0),""))</f>
        <v/>
      </c>
      <c r="K220" s="224" t="str" cm="1">
        <f t="array" ref="K220">IF(I220="No-Retrofit",F220,IFERROR(VLOOKUP(I220,Vstack!$A$2:$L$1000,{9},0)*N220,""))</f>
        <v/>
      </c>
      <c r="L220" s="193" t="str" cm="1">
        <f t="array" ref="L220">IF(I220="No-Retrofit",F220,IFERROR(VLOOKUP(I220,Vstack!$A$2:$L$1000,{10,4},0),""))</f>
        <v/>
      </c>
      <c r="M220" s="193"/>
      <c r="N220" s="121"/>
      <c r="O220" s="193" t="str">
        <f t="shared" si="14"/>
        <v/>
      </c>
      <c r="P220" s="195" t="str">
        <f t="shared" si="15"/>
        <v/>
      </c>
      <c r="Q220" s="246"/>
      <c r="R220" s="229"/>
      <c r="S220" s="245"/>
      <c r="T220" s="229"/>
      <c r="U220" s="196">
        <v>219</v>
      </c>
    </row>
    <row r="221" spans="1:21" ht="15" customHeight="1">
      <c r="A221" s="190" t="str">
        <f t="shared" si="12"/>
        <v>220- -W</v>
      </c>
      <c r="B221" s="123"/>
      <c r="C221" s="125"/>
      <c r="D221" s="190" t="str" cm="1">
        <f t="array" ref="D221">IFERROR(VLOOKUP(C221,Old_Model_Registry!$B$2:$K$500,{3,10,8,9},0),"")</f>
        <v/>
      </c>
      <c r="E221" s="190"/>
      <c r="F221" s="190"/>
      <c r="G221" s="191"/>
      <c r="H221" s="192">
        <f t="shared" si="13"/>
        <v>0</v>
      </c>
      <c r="I221" s="121"/>
      <c r="J221" s="193" t="str" cm="1">
        <f t="array" ref="J221">IF(I221="No-Retrofit",F221,IFERROR(VLOOKUP(I221,Vstack!$A$2:$L$1000,{8},0),""))</f>
        <v/>
      </c>
      <c r="K221" s="224" t="str" cm="1">
        <f t="array" ref="K221">IF(I221="No-Retrofit",F221,IFERROR(VLOOKUP(I221,Vstack!$A$2:$L$1000,{9},0)*N221,""))</f>
        <v/>
      </c>
      <c r="L221" s="193" t="str" cm="1">
        <f t="array" ref="L221">IF(I221="No-Retrofit",F221,IFERROR(VLOOKUP(I221,Vstack!$A$2:$L$1000,{10,4},0),""))</f>
        <v/>
      </c>
      <c r="M221" s="193"/>
      <c r="N221" s="121"/>
      <c r="O221" s="193" t="str">
        <f t="shared" si="14"/>
        <v/>
      </c>
      <c r="P221" s="195" t="str">
        <f t="shared" si="15"/>
        <v/>
      </c>
      <c r="Q221" s="246"/>
      <c r="R221" s="229"/>
      <c r="S221" s="245"/>
      <c r="T221" s="229"/>
      <c r="U221" s="196">
        <v>220</v>
      </c>
    </row>
    <row r="222" spans="1:21" ht="15" customHeight="1">
      <c r="A222" s="190" t="str">
        <f t="shared" si="12"/>
        <v>221- -W</v>
      </c>
      <c r="B222" s="123"/>
      <c r="C222" s="125"/>
      <c r="D222" s="190" t="str" cm="1">
        <f t="array" ref="D222">IFERROR(VLOOKUP(C222,Old_Model_Registry!$B$2:$K$500,{3,10,8,9},0),"")</f>
        <v/>
      </c>
      <c r="E222" s="190"/>
      <c r="F222" s="190"/>
      <c r="G222" s="191"/>
      <c r="H222" s="192">
        <f t="shared" si="13"/>
        <v>0</v>
      </c>
      <c r="I222" s="121"/>
      <c r="J222" s="193" t="str" cm="1">
        <f t="array" ref="J222">IF(I222="No-Retrofit",F222,IFERROR(VLOOKUP(I222,Vstack!$A$2:$L$1000,{8},0),""))</f>
        <v/>
      </c>
      <c r="K222" s="224" t="str" cm="1">
        <f t="array" ref="K222">IF(I222="No-Retrofit",F222,IFERROR(VLOOKUP(I222,Vstack!$A$2:$L$1000,{9},0)*N222,""))</f>
        <v/>
      </c>
      <c r="L222" s="193" t="str" cm="1">
        <f t="array" ref="L222">IF(I222="No-Retrofit",F222,IFERROR(VLOOKUP(I222,Vstack!$A$2:$L$1000,{10,4},0),""))</f>
        <v/>
      </c>
      <c r="M222" s="193"/>
      <c r="N222" s="121"/>
      <c r="O222" s="193" t="str">
        <f t="shared" si="14"/>
        <v/>
      </c>
      <c r="P222" s="195" t="str">
        <f t="shared" si="15"/>
        <v/>
      </c>
      <c r="Q222" s="246"/>
      <c r="R222" s="229"/>
      <c r="S222" s="245"/>
      <c r="T222" s="229"/>
      <c r="U222" s="196">
        <v>221</v>
      </c>
    </row>
    <row r="223" spans="1:21" ht="15" customHeight="1">
      <c r="A223" s="190" t="str">
        <f t="shared" si="12"/>
        <v>222- -W</v>
      </c>
      <c r="B223" s="123"/>
      <c r="C223" s="125"/>
      <c r="D223" s="190" t="str" cm="1">
        <f t="array" ref="D223">IFERROR(VLOOKUP(C223,Old_Model_Registry!$B$2:$K$500,{3,10,8,9},0),"")</f>
        <v/>
      </c>
      <c r="E223" s="190"/>
      <c r="F223" s="190"/>
      <c r="G223" s="191"/>
      <c r="H223" s="192">
        <f t="shared" si="13"/>
        <v>0</v>
      </c>
      <c r="I223" s="121"/>
      <c r="J223" s="193" t="str" cm="1">
        <f t="array" ref="J223">IF(I223="No-Retrofit",F223,IFERROR(VLOOKUP(I223,Vstack!$A$2:$L$1000,{8},0),""))</f>
        <v/>
      </c>
      <c r="K223" s="224" t="str" cm="1">
        <f t="array" ref="K223">IF(I223="No-Retrofit",F223,IFERROR(VLOOKUP(I223,Vstack!$A$2:$L$1000,{9},0)*N223,""))</f>
        <v/>
      </c>
      <c r="L223" s="193" t="str" cm="1">
        <f t="array" ref="L223">IF(I223="No-Retrofit",F223,IFERROR(VLOOKUP(I223,Vstack!$A$2:$L$1000,{10,4},0),""))</f>
        <v/>
      </c>
      <c r="M223" s="193"/>
      <c r="N223" s="121"/>
      <c r="O223" s="193" t="str">
        <f t="shared" si="14"/>
        <v/>
      </c>
      <c r="P223" s="195" t="str">
        <f t="shared" si="15"/>
        <v/>
      </c>
      <c r="Q223" s="246"/>
      <c r="R223" s="229"/>
      <c r="S223" s="231"/>
      <c r="T223" s="229"/>
      <c r="U223" s="196">
        <v>222</v>
      </c>
    </row>
    <row r="224" spans="1:21" ht="15" customHeight="1">
      <c r="A224" s="190" t="str">
        <f t="shared" si="12"/>
        <v>223- -W</v>
      </c>
      <c r="B224" s="123"/>
      <c r="C224" s="125"/>
      <c r="D224" s="190" t="str" cm="1">
        <f t="array" ref="D224">IFERROR(VLOOKUP(C224,Old_Model_Registry!$B$2:$K$500,{3,10,8,9},0),"")</f>
        <v/>
      </c>
      <c r="E224" s="190"/>
      <c r="F224" s="190"/>
      <c r="G224" s="191"/>
      <c r="H224" s="192">
        <f t="shared" si="13"/>
        <v>0</v>
      </c>
      <c r="I224" s="121"/>
      <c r="J224" s="193" t="str" cm="1">
        <f t="array" ref="J224">IF(I224="No-Retrofit",F224,IFERROR(VLOOKUP(I224,Vstack!$A$2:$L$1000,{8},0),""))</f>
        <v/>
      </c>
      <c r="K224" s="224" t="str" cm="1">
        <f t="array" ref="K224">IF(I224="No-Retrofit",F224,IFERROR(VLOOKUP(I224,Vstack!$A$2:$L$1000,{9},0)*N224,""))</f>
        <v/>
      </c>
      <c r="L224" s="193" t="str" cm="1">
        <f t="array" ref="L224">IF(I224="No-Retrofit",F224,IFERROR(VLOOKUP(I224,Vstack!$A$2:$L$1000,{10,4},0),""))</f>
        <v/>
      </c>
      <c r="M224" s="193"/>
      <c r="N224" s="121"/>
      <c r="O224" s="193" t="str">
        <f t="shared" si="14"/>
        <v/>
      </c>
      <c r="P224" s="195" t="str">
        <f t="shared" si="15"/>
        <v/>
      </c>
      <c r="Q224" s="246"/>
      <c r="R224" s="229"/>
      <c r="S224" s="231"/>
      <c r="T224" s="229"/>
      <c r="U224" s="196">
        <v>223</v>
      </c>
    </row>
    <row r="225" spans="1:21" ht="15" customHeight="1">
      <c r="A225" s="190" t="str">
        <f t="shared" si="12"/>
        <v>224- -W</v>
      </c>
      <c r="B225" s="123"/>
      <c r="C225" s="125"/>
      <c r="D225" s="190" t="str" cm="1">
        <f t="array" ref="D225">IFERROR(VLOOKUP(C225,Old_Model_Registry!$B$2:$K$500,{3,10,8,9},0),"")</f>
        <v/>
      </c>
      <c r="E225" s="190"/>
      <c r="F225" s="190"/>
      <c r="G225" s="191"/>
      <c r="H225" s="192">
        <f t="shared" si="13"/>
        <v>0</v>
      </c>
      <c r="I225" s="121"/>
      <c r="J225" s="193" t="str" cm="1">
        <f t="array" ref="J225">IF(I225="No-Retrofit",F225,IFERROR(VLOOKUP(I225,Vstack!$A$2:$L$1000,{8},0),""))</f>
        <v/>
      </c>
      <c r="K225" s="224" t="str" cm="1">
        <f t="array" ref="K225">IF(I225="No-Retrofit",F225,IFERROR(VLOOKUP(I225,Vstack!$A$2:$L$1000,{9},0)*N225,""))</f>
        <v/>
      </c>
      <c r="L225" s="193" t="str" cm="1">
        <f t="array" ref="L225">IF(I225="No-Retrofit",F225,IFERROR(VLOOKUP(I225,Vstack!$A$2:$L$1000,{10,4},0),""))</f>
        <v/>
      </c>
      <c r="M225" s="193"/>
      <c r="N225" s="121"/>
      <c r="O225" s="193" t="str">
        <f t="shared" si="14"/>
        <v/>
      </c>
      <c r="P225" s="195" t="str">
        <f t="shared" si="15"/>
        <v/>
      </c>
      <c r="Q225" s="246"/>
      <c r="R225" s="229"/>
      <c r="S225" s="245"/>
      <c r="T225" s="229"/>
      <c r="U225" s="196">
        <v>224</v>
      </c>
    </row>
    <row r="226" spans="1:21" ht="15" customHeight="1">
      <c r="A226" s="190" t="str">
        <f t="shared" si="12"/>
        <v>225- -W</v>
      </c>
      <c r="B226" s="123"/>
      <c r="C226" s="125"/>
      <c r="D226" s="190" t="str" cm="1">
        <f t="array" ref="D226">IFERROR(VLOOKUP(C226,Old_Model_Registry!$B$2:$K$500,{3,10,8,9},0),"")</f>
        <v/>
      </c>
      <c r="E226" s="190"/>
      <c r="F226" s="190"/>
      <c r="G226" s="191"/>
      <c r="H226" s="192">
        <f t="shared" si="13"/>
        <v>0</v>
      </c>
      <c r="I226" s="121"/>
      <c r="J226" s="193" t="str" cm="1">
        <f t="array" ref="J226">IF(I226="No-Retrofit",F226,IFERROR(VLOOKUP(I226,Vstack!$A$2:$L$1000,{8},0),""))</f>
        <v/>
      </c>
      <c r="K226" s="224" t="str" cm="1">
        <f t="array" ref="K226">IF(I226="No-Retrofit",F226,IFERROR(VLOOKUP(I226,Vstack!$A$2:$L$1000,{9},0)*N226,""))</f>
        <v/>
      </c>
      <c r="L226" s="193" t="str" cm="1">
        <f t="array" ref="L226">IF(I226="No-Retrofit",F226,IFERROR(VLOOKUP(I226,Vstack!$A$2:$L$1000,{10,4},0),""))</f>
        <v/>
      </c>
      <c r="M226" s="193"/>
      <c r="N226" s="121"/>
      <c r="O226" s="193" t="str">
        <f t="shared" si="14"/>
        <v/>
      </c>
      <c r="P226" s="195" t="str">
        <f t="shared" si="15"/>
        <v/>
      </c>
      <c r="Q226" s="246"/>
      <c r="R226" s="229"/>
      <c r="S226" s="245"/>
      <c r="T226" s="229"/>
      <c r="U226" s="196">
        <v>225</v>
      </c>
    </row>
    <row r="227" spans="1:21" ht="15" customHeight="1">
      <c r="A227" s="190" t="str">
        <f t="shared" si="12"/>
        <v>226- -W</v>
      </c>
      <c r="B227" s="123"/>
      <c r="C227" s="125"/>
      <c r="D227" s="190" t="str" cm="1">
        <f t="array" ref="D227">IFERROR(VLOOKUP(C227,Old_Model_Registry!$B$2:$K$500,{3,10,8,9},0),"")</f>
        <v/>
      </c>
      <c r="E227" s="190"/>
      <c r="F227" s="190"/>
      <c r="G227" s="191"/>
      <c r="H227" s="192">
        <f t="shared" si="13"/>
        <v>0</v>
      </c>
      <c r="I227" s="121"/>
      <c r="J227" s="193" t="str" cm="1">
        <f t="array" ref="J227">IF(I227="No-Retrofit",F227,IFERROR(VLOOKUP(I227,Vstack!$A$2:$L$1000,{8},0),""))</f>
        <v/>
      </c>
      <c r="K227" s="224" t="str" cm="1">
        <f t="array" ref="K227">IF(I227="No-Retrofit",F227,IFERROR(VLOOKUP(I227,Vstack!$A$2:$L$1000,{9},0)*N227,""))</f>
        <v/>
      </c>
      <c r="L227" s="193" t="str" cm="1">
        <f t="array" ref="L227">IF(I227="No-Retrofit",F227,IFERROR(VLOOKUP(I227,Vstack!$A$2:$L$1000,{10,4},0),""))</f>
        <v/>
      </c>
      <c r="M227" s="193"/>
      <c r="N227" s="121"/>
      <c r="O227" s="193" t="str">
        <f t="shared" si="14"/>
        <v/>
      </c>
      <c r="P227" s="195" t="str">
        <f t="shared" si="15"/>
        <v/>
      </c>
      <c r="Q227" s="246"/>
      <c r="R227" s="229"/>
      <c r="S227" s="231"/>
      <c r="T227" s="229"/>
      <c r="U227" s="196">
        <v>226</v>
      </c>
    </row>
    <row r="228" spans="1:21" ht="15" customHeight="1">
      <c r="A228" s="190" t="str">
        <f t="shared" si="12"/>
        <v>227- -W</v>
      </c>
      <c r="B228" s="123"/>
      <c r="C228" s="125"/>
      <c r="D228" s="190" t="str" cm="1">
        <f t="array" ref="D228">IFERROR(VLOOKUP(C228,Old_Model_Registry!$B$2:$K$500,{3,10,8,9},0),"")</f>
        <v/>
      </c>
      <c r="E228" s="190"/>
      <c r="F228" s="190"/>
      <c r="G228" s="191"/>
      <c r="H228" s="192">
        <f t="shared" si="13"/>
        <v>0</v>
      </c>
      <c r="I228" s="121"/>
      <c r="J228" s="193" t="str" cm="1">
        <f t="array" ref="J228">IF(I228="No-Retrofit",F228,IFERROR(VLOOKUP(I228,Vstack!$A$2:$L$1000,{8},0),""))</f>
        <v/>
      </c>
      <c r="K228" s="224" t="str" cm="1">
        <f t="array" ref="K228">IF(I228="No-Retrofit",F228,IFERROR(VLOOKUP(I228,Vstack!$A$2:$L$1000,{9},0)*N228,""))</f>
        <v/>
      </c>
      <c r="L228" s="193" t="str" cm="1">
        <f t="array" ref="L228">IF(I228="No-Retrofit",F228,IFERROR(VLOOKUP(I228,Vstack!$A$2:$L$1000,{10,4},0),""))</f>
        <v/>
      </c>
      <c r="M228" s="193"/>
      <c r="N228" s="121"/>
      <c r="O228" s="193" t="str">
        <f t="shared" si="14"/>
        <v/>
      </c>
      <c r="P228" s="195" t="str">
        <f t="shared" si="15"/>
        <v/>
      </c>
      <c r="Q228" s="246"/>
      <c r="R228" s="229"/>
      <c r="S228" s="245"/>
      <c r="T228" s="229"/>
      <c r="U228" s="196">
        <v>227</v>
      </c>
    </row>
    <row r="229" spans="1:21" ht="15" customHeight="1">
      <c r="A229" s="190" t="str">
        <f t="shared" si="12"/>
        <v>228- -W</v>
      </c>
      <c r="B229" s="123"/>
      <c r="C229" s="125"/>
      <c r="D229" s="190" t="str" cm="1">
        <f t="array" ref="D229">IFERROR(VLOOKUP(C229,Old_Model_Registry!$B$2:$K$500,{3,10,8,9},0),"")</f>
        <v/>
      </c>
      <c r="E229" s="190"/>
      <c r="F229" s="190"/>
      <c r="G229" s="191"/>
      <c r="H229" s="192">
        <f t="shared" si="13"/>
        <v>0</v>
      </c>
      <c r="I229" s="121"/>
      <c r="J229" s="193" t="str" cm="1">
        <f t="array" ref="J229">IF(I229="No-Retrofit",F229,IFERROR(VLOOKUP(I229,Vstack!$A$2:$L$1000,{8},0),""))</f>
        <v/>
      </c>
      <c r="K229" s="224" t="str" cm="1">
        <f t="array" ref="K229">IF(I229="No-Retrofit",F229,IFERROR(VLOOKUP(I229,Vstack!$A$2:$L$1000,{9},0)*N229,""))</f>
        <v/>
      </c>
      <c r="L229" s="193" t="str" cm="1">
        <f t="array" ref="L229">IF(I229="No-Retrofit",F229,IFERROR(VLOOKUP(I229,Vstack!$A$2:$L$1000,{10,4},0),""))</f>
        <v/>
      </c>
      <c r="M229" s="193"/>
      <c r="N229" s="121"/>
      <c r="O229" s="193" t="str">
        <f t="shared" si="14"/>
        <v/>
      </c>
      <c r="P229" s="195" t="str">
        <f t="shared" si="15"/>
        <v/>
      </c>
      <c r="Q229" s="246"/>
      <c r="R229" s="229"/>
      <c r="S229" s="231"/>
      <c r="T229" s="229"/>
      <c r="U229" s="196">
        <v>228</v>
      </c>
    </row>
    <row r="230" spans="1:21" ht="15" customHeight="1">
      <c r="A230" s="190" t="str">
        <f t="shared" si="12"/>
        <v>229- -W</v>
      </c>
      <c r="B230" s="123"/>
      <c r="C230" s="125"/>
      <c r="D230" s="190" t="str" cm="1">
        <f t="array" ref="D230">IFERROR(VLOOKUP(C230,Old_Model_Registry!$B$2:$K$500,{3,10,8,9},0),"")</f>
        <v/>
      </c>
      <c r="E230" s="190"/>
      <c r="F230" s="190"/>
      <c r="G230" s="191"/>
      <c r="H230" s="192">
        <f t="shared" si="13"/>
        <v>0</v>
      </c>
      <c r="I230" s="121"/>
      <c r="J230" s="193" t="str" cm="1">
        <f t="array" ref="J230">IF(I230="No-Retrofit",F230,IFERROR(VLOOKUP(I230,Vstack!$A$2:$L$1000,{8},0),""))</f>
        <v/>
      </c>
      <c r="K230" s="224" t="str" cm="1">
        <f t="array" ref="K230">IF(I230="No-Retrofit",F230,IFERROR(VLOOKUP(I230,Vstack!$A$2:$L$1000,{9},0)*N230,""))</f>
        <v/>
      </c>
      <c r="L230" s="193" t="str" cm="1">
        <f t="array" ref="L230">IF(I230="No-Retrofit",F230,IFERROR(VLOOKUP(I230,Vstack!$A$2:$L$1000,{10,4},0),""))</f>
        <v/>
      </c>
      <c r="M230" s="193"/>
      <c r="N230" s="121"/>
      <c r="O230" s="193" t="str">
        <f t="shared" si="14"/>
        <v/>
      </c>
      <c r="P230" s="195" t="str">
        <f t="shared" si="15"/>
        <v/>
      </c>
      <c r="Q230" s="246"/>
      <c r="R230" s="229"/>
      <c r="S230" s="245"/>
      <c r="T230" s="229"/>
      <c r="U230" s="196">
        <v>229</v>
      </c>
    </row>
    <row r="231" spans="1:21" ht="15" customHeight="1">
      <c r="A231" s="190" t="str">
        <f t="shared" si="12"/>
        <v>230- -W</v>
      </c>
      <c r="B231" s="123"/>
      <c r="C231" s="125"/>
      <c r="D231" s="190" t="str" cm="1">
        <f t="array" ref="D231">IFERROR(VLOOKUP(C231,Old_Model_Registry!$B$2:$K$500,{3,10,8,9},0),"")</f>
        <v/>
      </c>
      <c r="E231" s="190"/>
      <c r="F231" s="190"/>
      <c r="G231" s="191"/>
      <c r="H231" s="192">
        <f t="shared" si="13"/>
        <v>0</v>
      </c>
      <c r="I231" s="121"/>
      <c r="J231" s="193" t="str" cm="1">
        <f t="array" ref="J231">IF(I231="No-Retrofit",F231,IFERROR(VLOOKUP(I231,Vstack!$A$2:$L$1000,{8},0),""))</f>
        <v/>
      </c>
      <c r="K231" s="224" t="str" cm="1">
        <f t="array" ref="K231">IF(I231="No-Retrofit",F231,IFERROR(VLOOKUP(I231,Vstack!$A$2:$L$1000,{9},0)*N231,""))</f>
        <v/>
      </c>
      <c r="L231" s="193" t="str" cm="1">
        <f t="array" ref="L231">IF(I231="No-Retrofit",F231,IFERROR(VLOOKUP(I231,Vstack!$A$2:$L$1000,{10,4},0),""))</f>
        <v/>
      </c>
      <c r="M231" s="193"/>
      <c r="N231" s="121"/>
      <c r="O231" s="193" t="str">
        <f t="shared" si="14"/>
        <v/>
      </c>
      <c r="P231" s="195" t="str">
        <f t="shared" si="15"/>
        <v/>
      </c>
      <c r="Q231" s="246"/>
      <c r="R231" s="229"/>
      <c r="S231" s="245"/>
      <c r="T231" s="229"/>
      <c r="U231" s="196">
        <v>230</v>
      </c>
    </row>
    <row r="232" spans="1:21" ht="15" customHeight="1">
      <c r="A232" s="190" t="str">
        <f t="shared" si="12"/>
        <v>231- -W</v>
      </c>
      <c r="B232" s="123"/>
      <c r="C232" s="125"/>
      <c r="D232" s="190" t="str" cm="1">
        <f t="array" ref="D232">IFERROR(VLOOKUP(C232,Old_Model_Registry!$B$2:$K$500,{3,10,8,9},0),"")</f>
        <v/>
      </c>
      <c r="E232" s="190"/>
      <c r="F232" s="190"/>
      <c r="G232" s="191"/>
      <c r="H232" s="192">
        <f t="shared" si="13"/>
        <v>0</v>
      </c>
      <c r="I232" s="121"/>
      <c r="J232" s="193" t="str" cm="1">
        <f t="array" ref="J232">IF(I232="No-Retrofit",F232,IFERROR(VLOOKUP(I232,Vstack!$A$2:$L$1000,{8},0),""))</f>
        <v/>
      </c>
      <c r="K232" s="224" t="str" cm="1">
        <f t="array" ref="K232">IF(I232="No-Retrofit",F232,IFERROR(VLOOKUP(I232,Vstack!$A$2:$L$1000,{9},0)*N232,""))</f>
        <v/>
      </c>
      <c r="L232" s="193" t="str" cm="1">
        <f t="array" ref="L232">IF(I232="No-Retrofit",F232,IFERROR(VLOOKUP(I232,Vstack!$A$2:$L$1000,{10,4},0),""))</f>
        <v/>
      </c>
      <c r="M232" s="193"/>
      <c r="N232" s="121"/>
      <c r="O232" s="193" t="str">
        <f t="shared" si="14"/>
        <v/>
      </c>
      <c r="P232" s="195" t="str">
        <f t="shared" si="15"/>
        <v/>
      </c>
      <c r="Q232" s="246"/>
      <c r="R232" s="229"/>
      <c r="S232" s="231"/>
      <c r="T232" s="229"/>
      <c r="U232" s="196">
        <v>231</v>
      </c>
    </row>
    <row r="233" spans="1:21" ht="15" customHeight="1">
      <c r="A233" s="190" t="str">
        <f t="shared" si="12"/>
        <v>232- -W</v>
      </c>
      <c r="B233" s="123"/>
      <c r="C233" s="125"/>
      <c r="D233" s="190" t="str" cm="1">
        <f t="array" ref="D233">IFERROR(VLOOKUP(C233,Old_Model_Registry!$B$2:$K$500,{3,10,8,9},0),"")</f>
        <v/>
      </c>
      <c r="E233" s="190"/>
      <c r="F233" s="190"/>
      <c r="G233" s="191"/>
      <c r="H233" s="192">
        <f t="shared" si="13"/>
        <v>0</v>
      </c>
      <c r="I233" s="121"/>
      <c r="J233" s="193" t="str" cm="1">
        <f t="array" ref="J233">IF(I233="No-Retrofit",F233,IFERROR(VLOOKUP(I233,Vstack!$A$2:$L$1000,{8},0),""))</f>
        <v/>
      </c>
      <c r="K233" s="224" t="str" cm="1">
        <f t="array" ref="K233">IF(I233="No-Retrofit",F233,IFERROR(VLOOKUP(I233,Vstack!$A$2:$L$1000,{9},0)*N233,""))</f>
        <v/>
      </c>
      <c r="L233" s="193" t="str" cm="1">
        <f t="array" ref="L233">IF(I233="No-Retrofit",F233,IFERROR(VLOOKUP(I233,Vstack!$A$2:$L$1000,{10,4},0),""))</f>
        <v/>
      </c>
      <c r="M233" s="193"/>
      <c r="N233" s="121"/>
      <c r="O233" s="193" t="str">
        <f t="shared" si="14"/>
        <v/>
      </c>
      <c r="P233" s="195" t="str">
        <f t="shared" si="15"/>
        <v/>
      </c>
      <c r="Q233" s="246"/>
      <c r="R233" s="229"/>
      <c r="S233" s="245"/>
      <c r="T233" s="229"/>
      <c r="U233" s="196">
        <v>232</v>
      </c>
    </row>
    <row r="234" spans="1:21" ht="15" customHeight="1">
      <c r="A234" s="190" t="str">
        <f t="shared" si="12"/>
        <v>233- -W</v>
      </c>
      <c r="B234" s="123"/>
      <c r="C234" s="125"/>
      <c r="D234" s="190" t="str" cm="1">
        <f t="array" ref="D234">IFERROR(VLOOKUP(C234,Old_Model_Registry!$B$2:$K$500,{3,10,8,9},0),"")</f>
        <v/>
      </c>
      <c r="E234" s="190"/>
      <c r="F234" s="190"/>
      <c r="G234" s="191"/>
      <c r="H234" s="192">
        <f t="shared" si="13"/>
        <v>0</v>
      </c>
      <c r="I234" s="121"/>
      <c r="J234" s="193" t="str" cm="1">
        <f t="array" ref="J234">IF(I234="No-Retrofit",F234,IFERROR(VLOOKUP(I234,Vstack!$A$2:$L$1000,{8},0),""))</f>
        <v/>
      </c>
      <c r="K234" s="224" t="str" cm="1">
        <f t="array" ref="K234">IF(I234="No-Retrofit",F234,IFERROR(VLOOKUP(I234,Vstack!$A$2:$L$1000,{9},0)*N234,""))</f>
        <v/>
      </c>
      <c r="L234" s="193" t="str" cm="1">
        <f t="array" ref="L234">IF(I234="No-Retrofit",F234,IFERROR(VLOOKUP(I234,Vstack!$A$2:$L$1000,{10,4},0),""))</f>
        <v/>
      </c>
      <c r="M234" s="193"/>
      <c r="N234" s="121"/>
      <c r="O234" s="193" t="str">
        <f t="shared" si="14"/>
        <v/>
      </c>
      <c r="P234" s="195" t="str">
        <f t="shared" si="15"/>
        <v/>
      </c>
      <c r="Q234" s="246"/>
      <c r="R234" s="229"/>
      <c r="S234" s="231"/>
      <c r="T234" s="229"/>
      <c r="U234" s="196">
        <v>233</v>
      </c>
    </row>
    <row r="235" spans="1:21" ht="15" customHeight="1">
      <c r="A235" s="190" t="str">
        <f t="shared" si="12"/>
        <v>234- -W</v>
      </c>
      <c r="B235" s="123"/>
      <c r="C235" s="125"/>
      <c r="D235" s="190" t="str" cm="1">
        <f t="array" ref="D235">IFERROR(VLOOKUP(C235,Old_Model_Registry!$B$2:$K$500,{3,10,8,9},0),"")</f>
        <v/>
      </c>
      <c r="E235" s="190"/>
      <c r="F235" s="190"/>
      <c r="G235" s="191"/>
      <c r="H235" s="192">
        <f t="shared" si="13"/>
        <v>0</v>
      </c>
      <c r="I235" s="121"/>
      <c r="J235" s="193" t="str" cm="1">
        <f t="array" ref="J235">IF(I235="No-Retrofit",F235,IFERROR(VLOOKUP(I235,Vstack!$A$2:$L$1000,{8},0),""))</f>
        <v/>
      </c>
      <c r="K235" s="224" t="str" cm="1">
        <f t="array" ref="K235">IF(I235="No-Retrofit",F235,IFERROR(VLOOKUP(I235,Vstack!$A$2:$L$1000,{9},0)*N235,""))</f>
        <v/>
      </c>
      <c r="L235" s="193" t="str" cm="1">
        <f t="array" ref="L235">IF(I235="No-Retrofit",F235,IFERROR(VLOOKUP(I235,Vstack!$A$2:$L$1000,{10,4},0),""))</f>
        <v/>
      </c>
      <c r="M235" s="193"/>
      <c r="N235" s="121"/>
      <c r="O235" s="193" t="str">
        <f t="shared" si="14"/>
        <v/>
      </c>
      <c r="P235" s="195" t="str">
        <f t="shared" si="15"/>
        <v/>
      </c>
      <c r="Q235" s="246"/>
      <c r="R235" s="229"/>
      <c r="S235" s="231"/>
      <c r="T235" s="229"/>
      <c r="U235" s="196">
        <v>234</v>
      </c>
    </row>
    <row r="236" spans="1:21" ht="15" customHeight="1">
      <c r="A236" s="190" t="str">
        <f t="shared" si="12"/>
        <v>235- -W</v>
      </c>
      <c r="B236" s="123"/>
      <c r="C236" s="125"/>
      <c r="D236" s="190" t="str" cm="1">
        <f t="array" ref="D236">IFERROR(VLOOKUP(C236,Old_Model_Registry!$B$2:$K$500,{3,10,8,9},0),"")</f>
        <v/>
      </c>
      <c r="E236" s="190"/>
      <c r="F236" s="190"/>
      <c r="G236" s="191"/>
      <c r="H236" s="192">
        <f t="shared" si="13"/>
        <v>0</v>
      </c>
      <c r="I236" s="121"/>
      <c r="J236" s="193" t="str" cm="1">
        <f t="array" ref="J236">IF(I236="No-Retrofit",F236,IFERROR(VLOOKUP(I236,Vstack!$A$2:$L$1000,{8},0),""))</f>
        <v/>
      </c>
      <c r="K236" s="224" t="str" cm="1">
        <f t="array" ref="K236">IF(I236="No-Retrofit",F236,IFERROR(VLOOKUP(I236,Vstack!$A$2:$L$1000,{9},0)*N236,""))</f>
        <v/>
      </c>
      <c r="L236" s="193" t="str" cm="1">
        <f t="array" ref="L236">IF(I236="No-Retrofit",F236,IFERROR(VLOOKUP(I236,Vstack!$A$2:$L$1000,{10,4},0),""))</f>
        <v/>
      </c>
      <c r="M236" s="193"/>
      <c r="N236" s="121"/>
      <c r="O236" s="193" t="str">
        <f t="shared" si="14"/>
        <v/>
      </c>
      <c r="P236" s="195" t="str">
        <f t="shared" si="15"/>
        <v/>
      </c>
      <c r="Q236" s="246"/>
      <c r="R236" s="229"/>
      <c r="S236" s="245"/>
      <c r="T236" s="229"/>
      <c r="U236" s="196">
        <v>235</v>
      </c>
    </row>
    <row r="237" spans="1:21" ht="15" customHeight="1">
      <c r="A237" s="190" t="str">
        <f t="shared" si="12"/>
        <v>236- -W</v>
      </c>
      <c r="B237" s="123"/>
      <c r="C237" s="125"/>
      <c r="D237" s="190" t="str" cm="1">
        <f t="array" ref="D237">IFERROR(VLOOKUP(C237,Old_Model_Registry!$B$2:$K$500,{3,10,8,9},0),"")</f>
        <v/>
      </c>
      <c r="E237" s="190"/>
      <c r="F237" s="190"/>
      <c r="G237" s="191"/>
      <c r="H237" s="192">
        <f t="shared" si="13"/>
        <v>0</v>
      </c>
      <c r="I237" s="121"/>
      <c r="J237" s="193" t="str" cm="1">
        <f t="array" ref="J237">IF(I237="No-Retrofit",F237,IFERROR(VLOOKUP(I237,Vstack!$A$2:$L$1000,{8},0),""))</f>
        <v/>
      </c>
      <c r="K237" s="224" t="str" cm="1">
        <f t="array" ref="K237">IF(I237="No-Retrofit",F237,IFERROR(VLOOKUP(I237,Vstack!$A$2:$L$1000,{9},0)*N237,""))</f>
        <v/>
      </c>
      <c r="L237" s="193" t="str" cm="1">
        <f t="array" ref="L237">IF(I237="No-Retrofit",F237,IFERROR(VLOOKUP(I237,Vstack!$A$2:$L$1000,{10,4},0),""))</f>
        <v/>
      </c>
      <c r="M237" s="193"/>
      <c r="N237" s="121"/>
      <c r="O237" s="193" t="str">
        <f t="shared" si="14"/>
        <v/>
      </c>
      <c r="P237" s="195" t="str">
        <f t="shared" si="15"/>
        <v/>
      </c>
      <c r="Q237" s="246"/>
      <c r="R237" s="229"/>
      <c r="S237" s="245"/>
      <c r="T237" s="229"/>
      <c r="U237" s="196">
        <v>236</v>
      </c>
    </row>
    <row r="238" spans="1:21" ht="15" customHeight="1">
      <c r="A238" s="190" t="str">
        <f t="shared" si="12"/>
        <v>237- -W</v>
      </c>
      <c r="B238" s="123"/>
      <c r="C238" s="125"/>
      <c r="D238" s="190" t="str" cm="1">
        <f t="array" ref="D238">IFERROR(VLOOKUP(C238,Old_Model_Registry!$B$2:$K$500,{3,10,8,9},0),"")</f>
        <v/>
      </c>
      <c r="E238" s="190"/>
      <c r="F238" s="190"/>
      <c r="G238" s="191"/>
      <c r="H238" s="192">
        <f t="shared" si="13"/>
        <v>0</v>
      </c>
      <c r="I238" s="121"/>
      <c r="J238" s="193" t="str" cm="1">
        <f t="array" ref="J238">IF(I238="No-Retrofit",F238,IFERROR(VLOOKUP(I238,Vstack!$A$2:$L$1000,{8},0),""))</f>
        <v/>
      </c>
      <c r="K238" s="224" t="str" cm="1">
        <f t="array" ref="K238">IF(I238="No-Retrofit",F238,IFERROR(VLOOKUP(I238,Vstack!$A$2:$L$1000,{9},0)*N238,""))</f>
        <v/>
      </c>
      <c r="L238" s="193" t="str" cm="1">
        <f t="array" ref="L238">IF(I238="No-Retrofit",F238,IFERROR(VLOOKUP(I238,Vstack!$A$2:$L$1000,{10,4},0),""))</f>
        <v/>
      </c>
      <c r="M238" s="193"/>
      <c r="N238" s="121"/>
      <c r="O238" s="193" t="str">
        <f t="shared" si="14"/>
        <v/>
      </c>
      <c r="P238" s="195" t="str">
        <f t="shared" si="15"/>
        <v/>
      </c>
      <c r="Q238" s="246"/>
      <c r="R238" s="229"/>
      <c r="S238" s="231"/>
      <c r="T238" s="229"/>
      <c r="U238" s="196">
        <v>237</v>
      </c>
    </row>
    <row r="239" spans="1:21" ht="15" customHeight="1">
      <c r="A239" s="190" t="str">
        <f t="shared" si="12"/>
        <v>238- -W</v>
      </c>
      <c r="B239" s="123"/>
      <c r="C239" s="125"/>
      <c r="D239" s="190" t="str" cm="1">
        <f t="array" ref="D239">IFERROR(VLOOKUP(C239,Old_Model_Registry!$B$2:$K$500,{3,10,8,9},0),"")</f>
        <v/>
      </c>
      <c r="E239" s="190"/>
      <c r="F239" s="190"/>
      <c r="G239" s="191"/>
      <c r="H239" s="192">
        <f t="shared" si="13"/>
        <v>0</v>
      </c>
      <c r="I239" s="121"/>
      <c r="J239" s="193" t="str" cm="1">
        <f t="array" ref="J239">IF(I239="No-Retrofit",F239,IFERROR(VLOOKUP(I239,Vstack!$A$2:$L$1000,{8},0),""))</f>
        <v/>
      </c>
      <c r="K239" s="224" t="str" cm="1">
        <f t="array" ref="K239">IF(I239="No-Retrofit",F239,IFERROR(VLOOKUP(I239,Vstack!$A$2:$L$1000,{9},0)*N239,""))</f>
        <v/>
      </c>
      <c r="L239" s="193" t="str" cm="1">
        <f t="array" ref="L239">IF(I239="No-Retrofit",F239,IFERROR(VLOOKUP(I239,Vstack!$A$2:$L$1000,{10,4},0),""))</f>
        <v/>
      </c>
      <c r="M239" s="193"/>
      <c r="N239" s="121"/>
      <c r="O239" s="193" t="str">
        <f t="shared" si="14"/>
        <v/>
      </c>
      <c r="P239" s="195" t="str">
        <f t="shared" si="15"/>
        <v/>
      </c>
      <c r="Q239" s="246"/>
      <c r="R239" s="229"/>
      <c r="S239" s="245"/>
      <c r="T239" s="229"/>
      <c r="U239" s="196">
        <v>238</v>
      </c>
    </row>
    <row r="240" spans="1:21" ht="15" customHeight="1">
      <c r="A240" s="190" t="str">
        <f t="shared" si="12"/>
        <v>239- -W</v>
      </c>
      <c r="B240" s="123"/>
      <c r="C240" s="125"/>
      <c r="D240" s="190" t="str" cm="1">
        <f t="array" ref="D240">IFERROR(VLOOKUP(C240,Old_Model_Registry!$B$2:$K$500,{3,10,8,9},0),"")</f>
        <v/>
      </c>
      <c r="E240" s="190"/>
      <c r="F240" s="190"/>
      <c r="G240" s="191"/>
      <c r="H240" s="192">
        <f t="shared" si="13"/>
        <v>0</v>
      </c>
      <c r="I240" s="121"/>
      <c r="J240" s="193" t="str" cm="1">
        <f t="array" ref="J240">IF(I240="No-Retrofit",F240,IFERROR(VLOOKUP(I240,Vstack!$A$2:$L$1000,{8},0),""))</f>
        <v/>
      </c>
      <c r="K240" s="224" t="str" cm="1">
        <f t="array" ref="K240">IF(I240="No-Retrofit",F240,IFERROR(VLOOKUP(I240,Vstack!$A$2:$L$1000,{9},0)*N240,""))</f>
        <v/>
      </c>
      <c r="L240" s="193" t="str" cm="1">
        <f t="array" ref="L240">IF(I240="No-Retrofit",F240,IFERROR(VLOOKUP(I240,Vstack!$A$2:$L$1000,{10,4},0),""))</f>
        <v/>
      </c>
      <c r="M240" s="193"/>
      <c r="N240" s="121"/>
      <c r="O240" s="193" t="str">
        <f t="shared" si="14"/>
        <v/>
      </c>
      <c r="P240" s="195" t="str">
        <f t="shared" si="15"/>
        <v/>
      </c>
      <c r="Q240" s="246"/>
      <c r="R240" s="229"/>
      <c r="S240" s="231"/>
      <c r="T240" s="229"/>
      <c r="U240" s="196">
        <v>239</v>
      </c>
    </row>
    <row r="241" spans="1:21" ht="15" customHeight="1">
      <c r="A241" s="190" t="str">
        <f t="shared" si="12"/>
        <v>240- -W</v>
      </c>
      <c r="B241" s="123"/>
      <c r="C241" s="125"/>
      <c r="D241" s="190" t="str" cm="1">
        <f t="array" ref="D241">IFERROR(VLOOKUP(C241,Old_Model_Registry!$B$2:$K$500,{3,10,8,9},0),"")</f>
        <v/>
      </c>
      <c r="E241" s="190"/>
      <c r="F241" s="190"/>
      <c r="G241" s="191"/>
      <c r="H241" s="192">
        <f t="shared" si="13"/>
        <v>0</v>
      </c>
      <c r="I241" s="121"/>
      <c r="J241" s="193" t="str" cm="1">
        <f t="array" ref="J241">IF(I241="No-Retrofit",F241,IFERROR(VLOOKUP(I241,Vstack!$A$2:$L$1000,{8},0),""))</f>
        <v/>
      </c>
      <c r="K241" s="224" t="str" cm="1">
        <f t="array" ref="K241">IF(I241="No-Retrofit",F241,IFERROR(VLOOKUP(I241,Vstack!$A$2:$L$1000,{9},0)*N241,""))</f>
        <v/>
      </c>
      <c r="L241" s="193" t="str" cm="1">
        <f t="array" ref="L241">IF(I241="No-Retrofit",F241,IFERROR(VLOOKUP(I241,Vstack!$A$2:$L$1000,{10,4},0),""))</f>
        <v/>
      </c>
      <c r="M241" s="193"/>
      <c r="N241" s="121"/>
      <c r="O241" s="193" t="str">
        <f t="shared" si="14"/>
        <v/>
      </c>
      <c r="P241" s="195" t="str">
        <f t="shared" si="15"/>
        <v/>
      </c>
      <c r="Q241" s="246"/>
      <c r="R241" s="229"/>
      <c r="S241" s="231"/>
      <c r="T241" s="229"/>
      <c r="U241" s="196">
        <v>240</v>
      </c>
    </row>
    <row r="242" spans="1:21" ht="15" customHeight="1">
      <c r="A242" s="190" t="str">
        <f t="shared" si="12"/>
        <v>241- -W</v>
      </c>
      <c r="B242" s="123"/>
      <c r="C242" s="125"/>
      <c r="D242" s="190" t="str" cm="1">
        <f t="array" ref="D242">IFERROR(VLOOKUP(C242,Old_Model_Registry!$B$2:$K$500,{3,10,8,9},0),"")</f>
        <v/>
      </c>
      <c r="E242" s="190"/>
      <c r="F242" s="190"/>
      <c r="G242" s="191"/>
      <c r="H242" s="192">
        <f t="shared" si="13"/>
        <v>0</v>
      </c>
      <c r="I242" s="121"/>
      <c r="J242" s="193" t="str" cm="1">
        <f t="array" ref="J242">IF(I242="No-Retrofit",F242,IFERROR(VLOOKUP(I242,Vstack!$A$2:$L$1000,{8},0),""))</f>
        <v/>
      </c>
      <c r="K242" s="224" t="str" cm="1">
        <f t="array" ref="K242">IF(I242="No-Retrofit",F242,IFERROR(VLOOKUP(I242,Vstack!$A$2:$L$1000,{9},0)*N242,""))</f>
        <v/>
      </c>
      <c r="L242" s="193" t="str" cm="1">
        <f t="array" ref="L242">IF(I242="No-Retrofit",F242,IFERROR(VLOOKUP(I242,Vstack!$A$2:$L$1000,{10,4},0),""))</f>
        <v/>
      </c>
      <c r="M242" s="193"/>
      <c r="N242" s="121"/>
      <c r="O242" s="193" t="str">
        <f t="shared" si="14"/>
        <v/>
      </c>
      <c r="P242" s="195" t="str">
        <f t="shared" si="15"/>
        <v/>
      </c>
      <c r="Q242" s="246"/>
      <c r="R242" s="229"/>
      <c r="S242" s="231"/>
      <c r="T242" s="229"/>
      <c r="U242" s="196">
        <v>241</v>
      </c>
    </row>
    <row r="243" spans="1:21" ht="15" customHeight="1">
      <c r="A243" s="190" t="str">
        <f t="shared" si="12"/>
        <v>242- -W</v>
      </c>
      <c r="B243" s="123"/>
      <c r="C243" s="125"/>
      <c r="D243" s="190" t="str" cm="1">
        <f t="array" ref="D243">IFERROR(VLOOKUP(C243,Old_Model_Registry!$B$2:$K$500,{3,10,8,9},0),"")</f>
        <v/>
      </c>
      <c r="E243" s="190"/>
      <c r="F243" s="190"/>
      <c r="G243" s="191"/>
      <c r="H243" s="192">
        <f t="shared" si="13"/>
        <v>0</v>
      </c>
      <c r="I243" s="121"/>
      <c r="J243" s="193" t="str" cm="1">
        <f t="array" ref="J243">IF(I243="No-Retrofit",F243,IFERROR(VLOOKUP(I243,Vstack!$A$2:$L$1000,{8},0),""))</f>
        <v/>
      </c>
      <c r="K243" s="224" t="str" cm="1">
        <f t="array" ref="K243">IF(I243="No-Retrofit",F243,IFERROR(VLOOKUP(I243,Vstack!$A$2:$L$1000,{9},0)*N243,""))</f>
        <v/>
      </c>
      <c r="L243" s="193" t="str" cm="1">
        <f t="array" ref="L243">IF(I243="No-Retrofit",F243,IFERROR(VLOOKUP(I243,Vstack!$A$2:$L$1000,{10,4},0),""))</f>
        <v/>
      </c>
      <c r="M243" s="193"/>
      <c r="N243" s="121"/>
      <c r="O243" s="193" t="str">
        <f t="shared" si="14"/>
        <v/>
      </c>
      <c r="P243" s="195" t="str">
        <f t="shared" si="15"/>
        <v/>
      </c>
      <c r="Q243" s="246"/>
      <c r="R243" s="229"/>
      <c r="S243" s="231"/>
      <c r="T243" s="229"/>
      <c r="U243" s="196">
        <v>242</v>
      </c>
    </row>
    <row r="244" spans="1:21" ht="15" customHeight="1">
      <c r="A244" s="190" t="str">
        <f t="shared" si="12"/>
        <v>243- -W</v>
      </c>
      <c r="B244" s="123"/>
      <c r="C244" s="125"/>
      <c r="D244" s="190" t="str" cm="1">
        <f t="array" ref="D244">IFERROR(VLOOKUP(C244,Old_Model_Registry!$B$2:$K$500,{3,10,8,9},0),"")</f>
        <v/>
      </c>
      <c r="E244" s="190"/>
      <c r="F244" s="190"/>
      <c r="G244" s="191"/>
      <c r="H244" s="192">
        <f t="shared" si="13"/>
        <v>0</v>
      </c>
      <c r="I244" s="121"/>
      <c r="J244" s="193" t="str" cm="1">
        <f t="array" ref="J244">IF(I244="No-Retrofit",F244,IFERROR(VLOOKUP(I244,Vstack!$A$2:$L$1000,{8},0),""))</f>
        <v/>
      </c>
      <c r="K244" s="224" t="str" cm="1">
        <f t="array" ref="K244">IF(I244="No-Retrofit",F244,IFERROR(VLOOKUP(I244,Vstack!$A$2:$L$1000,{9},0)*N244,""))</f>
        <v/>
      </c>
      <c r="L244" s="193" t="str" cm="1">
        <f t="array" ref="L244">IF(I244="No-Retrofit",F244,IFERROR(VLOOKUP(I244,Vstack!$A$2:$L$1000,{10,4},0),""))</f>
        <v/>
      </c>
      <c r="M244" s="193"/>
      <c r="N244" s="121"/>
      <c r="O244" s="193" t="str">
        <f t="shared" si="14"/>
        <v/>
      </c>
      <c r="P244" s="195" t="str">
        <f t="shared" si="15"/>
        <v/>
      </c>
      <c r="Q244" s="246"/>
      <c r="R244" s="229"/>
      <c r="S244" s="231"/>
      <c r="T244" s="229"/>
      <c r="U244" s="196">
        <v>243</v>
      </c>
    </row>
    <row r="245" spans="1:21" ht="15" customHeight="1">
      <c r="A245" s="190" t="str">
        <f t="shared" si="12"/>
        <v>244- -W</v>
      </c>
      <c r="B245" s="123"/>
      <c r="C245" s="125"/>
      <c r="D245" s="190" t="str" cm="1">
        <f t="array" ref="D245">IFERROR(VLOOKUP(C245,Old_Model_Registry!$B$2:$K$500,{3,10,8,9},0),"")</f>
        <v/>
      </c>
      <c r="E245" s="190"/>
      <c r="F245" s="190"/>
      <c r="G245" s="191"/>
      <c r="H245" s="192">
        <f t="shared" si="13"/>
        <v>0</v>
      </c>
      <c r="I245" s="121"/>
      <c r="J245" s="193" t="str" cm="1">
        <f t="array" ref="J245">IF(I245="No-Retrofit",F245,IFERROR(VLOOKUP(I245,Vstack!$A$2:$L$1000,{8},0),""))</f>
        <v/>
      </c>
      <c r="K245" s="224" t="str" cm="1">
        <f t="array" ref="K245">IF(I245="No-Retrofit",F245,IFERROR(VLOOKUP(I245,Vstack!$A$2:$L$1000,{9},0)*N245,""))</f>
        <v/>
      </c>
      <c r="L245" s="193" t="str" cm="1">
        <f t="array" ref="L245">IF(I245="No-Retrofit",F245,IFERROR(VLOOKUP(I245,Vstack!$A$2:$L$1000,{10,4},0),""))</f>
        <v/>
      </c>
      <c r="M245" s="193"/>
      <c r="N245" s="121"/>
      <c r="O245" s="193" t="str">
        <f t="shared" si="14"/>
        <v/>
      </c>
      <c r="P245" s="195" t="str">
        <f t="shared" si="15"/>
        <v/>
      </c>
      <c r="Q245" s="246"/>
      <c r="R245" s="229"/>
      <c r="S245" s="231"/>
      <c r="T245" s="229"/>
      <c r="U245" s="196">
        <v>244</v>
      </c>
    </row>
    <row r="246" spans="1:21" ht="15" customHeight="1">
      <c r="A246" s="190" t="str">
        <f t="shared" si="12"/>
        <v>245- -W</v>
      </c>
      <c r="B246" s="123"/>
      <c r="C246" s="125"/>
      <c r="D246" s="190" t="str" cm="1">
        <f t="array" ref="D246">IFERROR(VLOOKUP(C246,Old_Model_Registry!$B$2:$K$500,{3,10,8,9},0),"")</f>
        <v/>
      </c>
      <c r="E246" s="190"/>
      <c r="F246" s="190"/>
      <c r="G246" s="191"/>
      <c r="H246" s="192">
        <f t="shared" si="13"/>
        <v>0</v>
      </c>
      <c r="I246" s="121"/>
      <c r="J246" s="193" t="str" cm="1">
        <f t="array" ref="J246">IF(I246="No-Retrofit",F246,IFERROR(VLOOKUP(I246,Vstack!$A$2:$L$1000,{8},0),""))</f>
        <v/>
      </c>
      <c r="K246" s="224" t="str" cm="1">
        <f t="array" ref="K246">IF(I246="No-Retrofit",F246,IFERROR(VLOOKUP(I246,Vstack!$A$2:$L$1000,{9},0)*N246,""))</f>
        <v/>
      </c>
      <c r="L246" s="193" t="str" cm="1">
        <f t="array" ref="L246">IF(I246="No-Retrofit",F246,IFERROR(VLOOKUP(I246,Vstack!$A$2:$L$1000,{10,4},0),""))</f>
        <v/>
      </c>
      <c r="M246" s="193"/>
      <c r="N246" s="121"/>
      <c r="O246" s="193" t="str">
        <f t="shared" si="14"/>
        <v/>
      </c>
      <c r="P246" s="195" t="str">
        <f t="shared" si="15"/>
        <v/>
      </c>
      <c r="Q246" s="246"/>
      <c r="R246" s="229"/>
      <c r="S246" s="231"/>
      <c r="T246" s="229"/>
      <c r="U246" s="196">
        <v>245</v>
      </c>
    </row>
    <row r="247" spans="1:21" ht="15" customHeight="1">
      <c r="A247" s="190" t="str">
        <f t="shared" si="12"/>
        <v>246- -W</v>
      </c>
      <c r="B247" s="123"/>
      <c r="C247" s="125"/>
      <c r="D247" s="190" t="str" cm="1">
        <f t="array" ref="D247">IFERROR(VLOOKUP(C247,Old_Model_Registry!$B$2:$K$500,{3,10,8,9},0),"")</f>
        <v/>
      </c>
      <c r="E247" s="190"/>
      <c r="F247" s="190"/>
      <c r="G247" s="191"/>
      <c r="H247" s="192">
        <f t="shared" si="13"/>
        <v>0</v>
      </c>
      <c r="I247" s="121"/>
      <c r="J247" s="193" t="str" cm="1">
        <f t="array" ref="J247">IF(I247="No-Retrofit",F247,IFERROR(VLOOKUP(I247,Vstack!$A$2:$L$1000,{8},0),""))</f>
        <v/>
      </c>
      <c r="K247" s="224" t="str" cm="1">
        <f t="array" ref="K247">IF(I247="No-Retrofit",F247,IFERROR(VLOOKUP(I247,Vstack!$A$2:$L$1000,{9},0)*N247,""))</f>
        <v/>
      </c>
      <c r="L247" s="193" t="str" cm="1">
        <f t="array" ref="L247">IF(I247="No-Retrofit",F247,IFERROR(VLOOKUP(I247,Vstack!$A$2:$L$1000,{10,4},0),""))</f>
        <v/>
      </c>
      <c r="M247" s="193"/>
      <c r="N247" s="121"/>
      <c r="O247" s="193" t="str">
        <f t="shared" si="14"/>
        <v/>
      </c>
      <c r="P247" s="195" t="str">
        <f t="shared" si="15"/>
        <v/>
      </c>
      <c r="Q247" s="246"/>
      <c r="R247" s="229"/>
      <c r="S247" s="231"/>
      <c r="T247" s="229"/>
      <c r="U247" s="196">
        <v>246</v>
      </c>
    </row>
    <row r="248" spans="1:21" ht="15" customHeight="1">
      <c r="A248" s="190" t="str">
        <f t="shared" si="12"/>
        <v>247- -W</v>
      </c>
      <c r="B248" s="123"/>
      <c r="C248" s="125"/>
      <c r="D248" s="190" t="str" cm="1">
        <f t="array" ref="D248">IFERROR(VLOOKUP(C248,Old_Model_Registry!$B$2:$K$500,{3,10,8,9},0),"")</f>
        <v/>
      </c>
      <c r="E248" s="190"/>
      <c r="F248" s="190"/>
      <c r="G248" s="191"/>
      <c r="H248" s="192">
        <f t="shared" si="13"/>
        <v>0</v>
      </c>
      <c r="I248" s="121"/>
      <c r="J248" s="193" t="str" cm="1">
        <f t="array" ref="J248">IF(I248="No-Retrofit",F248,IFERROR(VLOOKUP(I248,Vstack!$A$2:$L$1000,{8},0),""))</f>
        <v/>
      </c>
      <c r="K248" s="224" t="str" cm="1">
        <f t="array" ref="K248">IF(I248="No-Retrofit",F248,IFERROR(VLOOKUP(I248,Vstack!$A$2:$L$1000,{9},0)*N248,""))</f>
        <v/>
      </c>
      <c r="L248" s="193" t="str" cm="1">
        <f t="array" ref="L248">IF(I248="No-Retrofit",F248,IFERROR(VLOOKUP(I248,Vstack!$A$2:$L$1000,{10,4},0),""))</f>
        <v/>
      </c>
      <c r="M248" s="193"/>
      <c r="N248" s="121"/>
      <c r="O248" s="193" t="str">
        <f t="shared" si="14"/>
        <v/>
      </c>
      <c r="P248" s="195" t="str">
        <f t="shared" si="15"/>
        <v/>
      </c>
      <c r="Q248" s="246"/>
      <c r="R248" s="229"/>
      <c r="S248" s="245"/>
      <c r="T248" s="229"/>
      <c r="U248" s="196">
        <v>247</v>
      </c>
    </row>
    <row r="249" spans="1:21" ht="15" customHeight="1">
      <c r="A249" s="190" t="str">
        <f t="shared" si="12"/>
        <v>248- -W</v>
      </c>
      <c r="B249" s="123"/>
      <c r="C249" s="125"/>
      <c r="D249" s="190" t="str" cm="1">
        <f t="array" ref="D249">IFERROR(VLOOKUP(C249,Old_Model_Registry!$B$2:$K$500,{3,10,8,9},0),"")</f>
        <v/>
      </c>
      <c r="E249" s="190"/>
      <c r="F249" s="190"/>
      <c r="G249" s="191"/>
      <c r="H249" s="192">
        <f t="shared" si="13"/>
        <v>0</v>
      </c>
      <c r="I249" s="121"/>
      <c r="J249" s="193" t="str" cm="1">
        <f t="array" ref="J249">IF(I249="No-Retrofit",F249,IFERROR(VLOOKUP(I249,Vstack!$A$2:$L$1000,{8},0),""))</f>
        <v/>
      </c>
      <c r="K249" s="224" t="str" cm="1">
        <f t="array" ref="K249">IF(I249="No-Retrofit",F249,IFERROR(VLOOKUP(I249,Vstack!$A$2:$L$1000,{9},0)*N249,""))</f>
        <v/>
      </c>
      <c r="L249" s="193" t="str" cm="1">
        <f t="array" ref="L249">IF(I249="No-Retrofit",F249,IFERROR(VLOOKUP(I249,Vstack!$A$2:$L$1000,{10,4},0),""))</f>
        <v/>
      </c>
      <c r="M249" s="193"/>
      <c r="N249" s="121"/>
      <c r="O249" s="193" t="str">
        <f t="shared" si="14"/>
        <v/>
      </c>
      <c r="P249" s="195" t="str">
        <f t="shared" si="15"/>
        <v/>
      </c>
      <c r="Q249" s="246"/>
      <c r="R249" s="229"/>
      <c r="S249" s="231"/>
      <c r="T249" s="229"/>
      <c r="U249" s="196">
        <v>248</v>
      </c>
    </row>
    <row r="250" spans="1:21" ht="15" customHeight="1">
      <c r="A250" s="190" t="str">
        <f t="shared" si="12"/>
        <v>249- -W</v>
      </c>
      <c r="B250" s="123"/>
      <c r="C250" s="125"/>
      <c r="D250" s="190" t="str" cm="1">
        <f t="array" ref="D250">IFERROR(VLOOKUP(C250,Old_Model_Registry!$B$2:$K$500,{3,10,8,9},0),"")</f>
        <v/>
      </c>
      <c r="E250" s="190"/>
      <c r="F250" s="190"/>
      <c r="G250" s="191"/>
      <c r="H250" s="192">
        <f t="shared" si="13"/>
        <v>0</v>
      </c>
      <c r="I250" s="121"/>
      <c r="J250" s="193" t="str" cm="1">
        <f t="array" ref="J250">IF(I250="No-Retrofit",F250,IFERROR(VLOOKUP(I250,Vstack!$A$2:$L$1000,{8},0),""))</f>
        <v/>
      </c>
      <c r="K250" s="224" t="str" cm="1">
        <f t="array" ref="K250">IF(I250="No-Retrofit",F250,IFERROR(VLOOKUP(I250,Vstack!$A$2:$L$1000,{9},0)*N250,""))</f>
        <v/>
      </c>
      <c r="L250" s="193" t="str" cm="1">
        <f t="array" ref="L250">IF(I250="No-Retrofit",F250,IFERROR(VLOOKUP(I250,Vstack!$A$2:$L$1000,{10,4},0),""))</f>
        <v/>
      </c>
      <c r="M250" s="193"/>
      <c r="N250" s="121"/>
      <c r="O250" s="193" t="str">
        <f t="shared" si="14"/>
        <v/>
      </c>
      <c r="P250" s="195" t="str">
        <f t="shared" si="15"/>
        <v/>
      </c>
      <c r="Q250" s="246"/>
      <c r="R250" s="229"/>
      <c r="S250" s="231"/>
      <c r="T250" s="229"/>
      <c r="U250" s="196">
        <v>249</v>
      </c>
    </row>
    <row r="251" spans="1:21" ht="15" customHeight="1">
      <c r="A251" s="190" t="str">
        <f t="shared" si="12"/>
        <v>250- -W</v>
      </c>
      <c r="B251" s="123"/>
      <c r="C251" s="125"/>
      <c r="D251" s="190" t="str" cm="1">
        <f t="array" ref="D251">IFERROR(VLOOKUP(C251,Old_Model_Registry!$B$2:$K$500,{3,10,8,9},0),"")</f>
        <v/>
      </c>
      <c r="E251" s="190"/>
      <c r="F251" s="190"/>
      <c r="G251" s="191"/>
      <c r="H251" s="192">
        <f t="shared" si="13"/>
        <v>0</v>
      </c>
      <c r="I251" s="121"/>
      <c r="J251" s="193" t="str" cm="1">
        <f t="array" ref="J251">IF(I251="No-Retrofit",F251,IFERROR(VLOOKUP(I251,Vstack!$A$2:$L$1000,{8},0),""))</f>
        <v/>
      </c>
      <c r="K251" s="224" t="str" cm="1">
        <f t="array" ref="K251">IF(I251="No-Retrofit",F251,IFERROR(VLOOKUP(I251,Vstack!$A$2:$L$1000,{9},0)*N251,""))</f>
        <v/>
      </c>
      <c r="L251" s="193" t="str" cm="1">
        <f t="array" ref="L251">IF(I251="No-Retrofit",F251,IFERROR(VLOOKUP(I251,Vstack!$A$2:$L$1000,{10,4},0),""))</f>
        <v/>
      </c>
      <c r="M251" s="193"/>
      <c r="N251" s="121"/>
      <c r="O251" s="193" t="str">
        <f t="shared" si="14"/>
        <v/>
      </c>
      <c r="P251" s="195" t="str">
        <f t="shared" si="15"/>
        <v/>
      </c>
      <c r="Q251" s="246"/>
      <c r="R251" s="229"/>
      <c r="S251" s="231"/>
      <c r="T251" s="229"/>
      <c r="U251" s="196">
        <v>250</v>
      </c>
    </row>
    <row r="252" spans="1:21" ht="15" customHeight="1">
      <c r="A252" s="190" t="str">
        <f t="shared" si="12"/>
        <v>251- -W</v>
      </c>
      <c r="B252" s="123"/>
      <c r="C252" s="125"/>
      <c r="D252" s="190" t="str" cm="1">
        <f t="array" ref="D252">IFERROR(VLOOKUP(C252,Old_Model_Registry!$B$2:$K$500,{3,10,8,9},0),"")</f>
        <v/>
      </c>
      <c r="E252" s="190"/>
      <c r="F252" s="190"/>
      <c r="G252" s="191"/>
      <c r="H252" s="192">
        <f t="shared" si="13"/>
        <v>0</v>
      </c>
      <c r="I252" s="121"/>
      <c r="J252" s="193" t="str" cm="1">
        <f t="array" ref="J252">IF(I252="No-Retrofit",F252,IFERROR(VLOOKUP(I252,Vstack!$A$2:$L$1000,{8},0),""))</f>
        <v/>
      </c>
      <c r="K252" s="224" t="str" cm="1">
        <f t="array" ref="K252">IF(I252="No-Retrofit",F252,IFERROR(VLOOKUP(I252,Vstack!$A$2:$L$1000,{9},0)*N252,""))</f>
        <v/>
      </c>
      <c r="L252" s="193" t="str" cm="1">
        <f t="array" ref="L252">IF(I252="No-Retrofit",F252,IFERROR(VLOOKUP(I252,Vstack!$A$2:$L$1000,{10,4},0),""))</f>
        <v/>
      </c>
      <c r="M252" s="193"/>
      <c r="N252" s="121"/>
      <c r="O252" s="193" t="str">
        <f t="shared" si="14"/>
        <v/>
      </c>
      <c r="P252" s="195" t="str">
        <f t="shared" si="15"/>
        <v/>
      </c>
      <c r="Q252" s="246"/>
      <c r="R252" s="229"/>
      <c r="S252" s="231"/>
      <c r="T252" s="229"/>
      <c r="U252" s="196">
        <v>251</v>
      </c>
    </row>
    <row r="253" spans="1:21" ht="15" customHeight="1">
      <c r="A253" s="190" t="str">
        <f t="shared" si="12"/>
        <v>252- -W</v>
      </c>
      <c r="B253" s="123"/>
      <c r="C253" s="125"/>
      <c r="D253" s="190" t="str" cm="1">
        <f t="array" ref="D253">IFERROR(VLOOKUP(C253,Old_Model_Registry!$B$2:$K$500,{3,10,8,9},0),"")</f>
        <v/>
      </c>
      <c r="E253" s="190"/>
      <c r="F253" s="190"/>
      <c r="G253" s="191"/>
      <c r="H253" s="192">
        <f t="shared" si="13"/>
        <v>0</v>
      </c>
      <c r="I253" s="121"/>
      <c r="J253" s="193" t="str" cm="1">
        <f t="array" ref="J253">IF(I253="No-Retrofit",F253,IFERROR(VLOOKUP(I253,Vstack!$A$2:$L$1000,{8},0),""))</f>
        <v/>
      </c>
      <c r="K253" s="224" t="str" cm="1">
        <f t="array" ref="K253">IF(I253="No-Retrofit",F253,IFERROR(VLOOKUP(I253,Vstack!$A$2:$L$1000,{9},0)*N253,""))</f>
        <v/>
      </c>
      <c r="L253" s="193" t="str" cm="1">
        <f t="array" ref="L253">IF(I253="No-Retrofit",F253,IFERROR(VLOOKUP(I253,Vstack!$A$2:$L$1000,{10,4},0),""))</f>
        <v/>
      </c>
      <c r="M253" s="193"/>
      <c r="N253" s="121"/>
      <c r="O253" s="193" t="str">
        <f t="shared" si="14"/>
        <v/>
      </c>
      <c r="P253" s="195" t="str">
        <f t="shared" si="15"/>
        <v/>
      </c>
      <c r="Q253" s="246"/>
      <c r="R253" s="229"/>
      <c r="S253" s="245"/>
      <c r="T253" s="229"/>
      <c r="U253" s="196">
        <v>252</v>
      </c>
    </row>
    <row r="254" spans="1:21" ht="15" customHeight="1">
      <c r="A254" s="190" t="str">
        <f t="shared" si="12"/>
        <v>253- -W</v>
      </c>
      <c r="B254" s="123"/>
      <c r="C254" s="125"/>
      <c r="D254" s="190" t="str" cm="1">
        <f t="array" ref="D254">IFERROR(VLOOKUP(C254,Old_Model_Registry!$B$2:$K$500,{3,10,8,9},0),"")</f>
        <v/>
      </c>
      <c r="E254" s="190"/>
      <c r="F254" s="190"/>
      <c r="G254" s="191"/>
      <c r="H254" s="192">
        <f t="shared" si="13"/>
        <v>0</v>
      </c>
      <c r="I254" s="121"/>
      <c r="J254" s="193" t="str" cm="1">
        <f t="array" ref="J254">IF(I254="No-Retrofit",F254,IFERROR(VLOOKUP(I254,Vstack!$A$2:$L$1000,{8},0),""))</f>
        <v/>
      </c>
      <c r="K254" s="224" t="str" cm="1">
        <f t="array" ref="K254">IF(I254="No-Retrofit",F254,IFERROR(VLOOKUP(I254,Vstack!$A$2:$L$1000,{9},0)*N254,""))</f>
        <v/>
      </c>
      <c r="L254" s="193" t="str" cm="1">
        <f t="array" ref="L254">IF(I254="No-Retrofit",F254,IFERROR(VLOOKUP(I254,Vstack!$A$2:$L$1000,{10,4},0),""))</f>
        <v/>
      </c>
      <c r="M254" s="193"/>
      <c r="N254" s="121"/>
      <c r="O254" s="193" t="str">
        <f t="shared" si="14"/>
        <v/>
      </c>
      <c r="P254" s="195" t="str">
        <f t="shared" si="15"/>
        <v/>
      </c>
      <c r="Q254" s="246"/>
      <c r="R254" s="229"/>
      <c r="S254" s="245"/>
      <c r="T254" s="229"/>
      <c r="U254" s="196">
        <v>253</v>
      </c>
    </row>
    <row r="255" spans="1:21" ht="15" customHeight="1">
      <c r="A255" s="190" t="str">
        <f t="shared" si="12"/>
        <v>254- -W</v>
      </c>
      <c r="B255" s="123"/>
      <c r="C255" s="125"/>
      <c r="D255" s="190" t="str" cm="1">
        <f t="array" ref="D255">IFERROR(VLOOKUP(C255,Old_Model_Registry!$B$2:$K$500,{3,10,8,9},0),"")</f>
        <v/>
      </c>
      <c r="E255" s="190"/>
      <c r="F255" s="190"/>
      <c r="G255" s="191"/>
      <c r="H255" s="192">
        <f t="shared" si="13"/>
        <v>0</v>
      </c>
      <c r="I255" s="121"/>
      <c r="J255" s="193" t="str" cm="1">
        <f t="array" ref="J255">IF(I255="No-Retrofit",F255,IFERROR(VLOOKUP(I255,Vstack!$A$2:$L$1000,{8},0),""))</f>
        <v/>
      </c>
      <c r="K255" s="224" t="str" cm="1">
        <f t="array" ref="K255">IF(I255="No-Retrofit",F255,IFERROR(VLOOKUP(I255,Vstack!$A$2:$L$1000,{9},0)*N255,""))</f>
        <v/>
      </c>
      <c r="L255" s="193" t="str" cm="1">
        <f t="array" ref="L255">IF(I255="No-Retrofit",F255,IFERROR(VLOOKUP(I255,Vstack!$A$2:$L$1000,{10,4},0),""))</f>
        <v/>
      </c>
      <c r="M255" s="193"/>
      <c r="N255" s="121"/>
      <c r="O255" s="193" t="str">
        <f t="shared" si="14"/>
        <v/>
      </c>
      <c r="P255" s="195" t="str">
        <f t="shared" si="15"/>
        <v/>
      </c>
      <c r="Q255" s="246"/>
      <c r="R255" s="229"/>
      <c r="S255" s="231"/>
      <c r="T255" s="229"/>
      <c r="U255" s="196">
        <v>254</v>
      </c>
    </row>
    <row r="256" spans="1:21" ht="15" customHeight="1">
      <c r="A256" s="190" t="str">
        <f t="shared" si="12"/>
        <v>255- -W</v>
      </c>
      <c r="B256" s="123"/>
      <c r="C256" s="125"/>
      <c r="D256" s="190" t="str" cm="1">
        <f t="array" ref="D256">IFERROR(VLOOKUP(C256,Old_Model_Registry!$B$2:$K$500,{3,10,8,9},0),"")</f>
        <v/>
      </c>
      <c r="E256" s="190"/>
      <c r="F256" s="190"/>
      <c r="G256" s="191"/>
      <c r="H256" s="192">
        <f t="shared" si="13"/>
        <v>0</v>
      </c>
      <c r="I256" s="121"/>
      <c r="J256" s="193" t="str" cm="1">
        <f t="array" ref="J256">IF(I256="No-Retrofit",F256,IFERROR(VLOOKUP(I256,Vstack!$A$2:$L$1000,{8},0),""))</f>
        <v/>
      </c>
      <c r="K256" s="224" t="str" cm="1">
        <f t="array" ref="K256">IF(I256="No-Retrofit",F256,IFERROR(VLOOKUP(I256,Vstack!$A$2:$L$1000,{9},0)*N256,""))</f>
        <v/>
      </c>
      <c r="L256" s="193" t="str" cm="1">
        <f t="array" ref="L256">IF(I256="No-Retrofit",F256,IFERROR(VLOOKUP(I256,Vstack!$A$2:$L$1000,{10,4},0),""))</f>
        <v/>
      </c>
      <c r="M256" s="193"/>
      <c r="N256" s="121"/>
      <c r="O256" s="193" t="str">
        <f t="shared" si="14"/>
        <v/>
      </c>
      <c r="P256" s="195" t="str">
        <f t="shared" si="15"/>
        <v/>
      </c>
      <c r="Q256" s="246"/>
      <c r="R256" s="229"/>
      <c r="S256" s="245"/>
      <c r="T256" s="229"/>
      <c r="U256" s="196">
        <v>255</v>
      </c>
    </row>
    <row r="257" spans="1:21" ht="15" customHeight="1">
      <c r="A257" s="190" t="str">
        <f t="shared" si="12"/>
        <v>256- -W</v>
      </c>
      <c r="B257" s="123"/>
      <c r="C257" s="125"/>
      <c r="D257" s="190" t="str" cm="1">
        <f t="array" ref="D257">IFERROR(VLOOKUP(C257,Old_Model_Registry!$B$2:$K$500,{3,10,8,9},0),"")</f>
        <v/>
      </c>
      <c r="E257" s="190"/>
      <c r="F257" s="190"/>
      <c r="G257" s="191"/>
      <c r="H257" s="192">
        <f t="shared" si="13"/>
        <v>0</v>
      </c>
      <c r="I257" s="121"/>
      <c r="J257" s="193" t="str" cm="1">
        <f t="array" ref="J257">IF(I257="No-Retrofit",F257,IFERROR(VLOOKUP(I257,Vstack!$A$2:$L$1000,{8},0),""))</f>
        <v/>
      </c>
      <c r="K257" s="224" t="str" cm="1">
        <f t="array" ref="K257">IF(I257="No-Retrofit",F257,IFERROR(VLOOKUP(I257,Vstack!$A$2:$L$1000,{9},0)*N257,""))</f>
        <v/>
      </c>
      <c r="L257" s="193" t="str" cm="1">
        <f t="array" ref="L257">IF(I257="No-Retrofit",F257,IFERROR(VLOOKUP(I257,Vstack!$A$2:$L$1000,{10,4},0),""))</f>
        <v/>
      </c>
      <c r="M257" s="193"/>
      <c r="N257" s="121"/>
      <c r="O257" s="193" t="str">
        <f t="shared" si="14"/>
        <v/>
      </c>
      <c r="P257" s="195" t="str">
        <f t="shared" si="15"/>
        <v/>
      </c>
      <c r="Q257" s="246"/>
      <c r="R257" s="229"/>
      <c r="S257" s="231"/>
      <c r="T257" s="229"/>
      <c r="U257" s="196">
        <v>256</v>
      </c>
    </row>
    <row r="258" spans="1:21" ht="15" customHeight="1">
      <c r="A258" s="190" t="str">
        <f t="shared" si="12"/>
        <v>257- -W</v>
      </c>
      <c r="B258" s="123"/>
      <c r="C258" s="125"/>
      <c r="D258" s="190" t="str" cm="1">
        <f t="array" ref="D258">IFERROR(VLOOKUP(C258,Old_Model_Registry!$B$2:$K$500,{3,10,8,9},0),"")</f>
        <v/>
      </c>
      <c r="E258" s="190"/>
      <c r="F258" s="190"/>
      <c r="G258" s="191"/>
      <c r="H258" s="192">
        <f t="shared" si="13"/>
        <v>0</v>
      </c>
      <c r="I258" s="121"/>
      <c r="J258" s="193" t="str" cm="1">
        <f t="array" ref="J258">IF(I258="No-Retrofit",F258,IFERROR(VLOOKUP(I258,Vstack!$A$2:$L$1000,{8},0),""))</f>
        <v/>
      </c>
      <c r="K258" s="224" t="str" cm="1">
        <f t="array" ref="K258">IF(I258="No-Retrofit",F258,IFERROR(VLOOKUP(I258,Vstack!$A$2:$L$1000,{9},0)*N258,""))</f>
        <v/>
      </c>
      <c r="L258" s="193" t="str" cm="1">
        <f t="array" ref="L258">IF(I258="No-Retrofit",F258,IFERROR(VLOOKUP(I258,Vstack!$A$2:$L$1000,{10,4},0),""))</f>
        <v/>
      </c>
      <c r="M258" s="193"/>
      <c r="N258" s="121"/>
      <c r="O258" s="193" t="str">
        <f t="shared" si="14"/>
        <v/>
      </c>
      <c r="P258" s="195" t="str">
        <f t="shared" si="15"/>
        <v/>
      </c>
      <c r="Q258" s="246"/>
      <c r="R258" s="229"/>
      <c r="S258" s="231"/>
      <c r="T258" s="229"/>
      <c r="U258" s="196">
        <v>257</v>
      </c>
    </row>
    <row r="259" spans="1:21" ht="15" customHeight="1">
      <c r="A259" s="190" t="str">
        <f t="shared" ref="A259:A322" si="16">U259&amp;"- "&amp;B259&amp;"-"&amp;F259&amp;"W"</f>
        <v>258- -W</v>
      </c>
      <c r="B259" s="123"/>
      <c r="C259" s="125"/>
      <c r="D259" s="190" t="str" cm="1">
        <f t="array" ref="D259">IFERROR(VLOOKUP(C259,Old_Model_Registry!$B$2:$K$500,{3,10,8,9},0),"")</f>
        <v/>
      </c>
      <c r="E259" s="190"/>
      <c r="F259" s="190"/>
      <c r="G259" s="191"/>
      <c r="H259" s="192">
        <f t="shared" ref="H259:H322" si="17">E259*F259</f>
        <v>0</v>
      </c>
      <c r="I259" s="121"/>
      <c r="J259" s="193" t="str" cm="1">
        <f t="array" ref="J259">IF(I259="No-Retrofit",F259,IFERROR(VLOOKUP(I259,Vstack!$A$2:$L$1000,{8},0),""))</f>
        <v/>
      </c>
      <c r="K259" s="224" t="str" cm="1">
        <f t="array" ref="K259">IF(I259="No-Retrofit",F259,IFERROR(VLOOKUP(I259,Vstack!$A$2:$L$1000,{9},0)*N259,""))</f>
        <v/>
      </c>
      <c r="L259" s="193" t="str" cm="1">
        <f t="array" ref="L259">IF(I259="No-Retrofit",F259,IFERROR(VLOOKUP(I259,Vstack!$A$2:$L$1000,{10,4},0),""))</f>
        <v/>
      </c>
      <c r="M259" s="193"/>
      <c r="N259" s="121"/>
      <c r="O259" s="193" t="str">
        <f t="shared" ref="O259:O322" si="18">IFERROR(N259*J259,"")</f>
        <v/>
      </c>
      <c r="P259" s="195" t="str">
        <f t="shared" ref="P259:P322" si="19">IFERROR(-(O259/H259-1),"")</f>
        <v/>
      </c>
      <c r="Q259" s="246"/>
      <c r="R259" s="229"/>
      <c r="S259" s="231"/>
      <c r="T259" s="229"/>
      <c r="U259" s="196">
        <v>258</v>
      </c>
    </row>
    <row r="260" spans="1:21" ht="15" customHeight="1">
      <c r="A260" s="190" t="str">
        <f t="shared" si="16"/>
        <v>259- -W</v>
      </c>
      <c r="B260" s="123"/>
      <c r="C260" s="125"/>
      <c r="D260" s="190" t="str" cm="1">
        <f t="array" ref="D260">IFERROR(VLOOKUP(C260,Old_Model_Registry!$B$2:$K$500,{3,10,8,9},0),"")</f>
        <v/>
      </c>
      <c r="E260" s="190"/>
      <c r="F260" s="190"/>
      <c r="G260" s="191"/>
      <c r="H260" s="192">
        <f t="shared" si="17"/>
        <v>0</v>
      </c>
      <c r="I260" s="121"/>
      <c r="J260" s="193" t="str" cm="1">
        <f t="array" ref="J260">IF(I260="No-Retrofit",F260,IFERROR(VLOOKUP(I260,Vstack!$A$2:$L$1000,{8},0),""))</f>
        <v/>
      </c>
      <c r="K260" s="224" t="str" cm="1">
        <f t="array" ref="K260">IF(I260="No-Retrofit",F260,IFERROR(VLOOKUP(I260,Vstack!$A$2:$L$1000,{9},0)*N260,""))</f>
        <v/>
      </c>
      <c r="L260" s="193" t="str" cm="1">
        <f t="array" ref="L260">IF(I260="No-Retrofit",F260,IFERROR(VLOOKUP(I260,Vstack!$A$2:$L$1000,{10,4},0),""))</f>
        <v/>
      </c>
      <c r="M260" s="193"/>
      <c r="N260" s="121"/>
      <c r="O260" s="193" t="str">
        <f t="shared" si="18"/>
        <v/>
      </c>
      <c r="P260" s="195" t="str">
        <f t="shared" si="19"/>
        <v/>
      </c>
      <c r="Q260" s="246"/>
      <c r="R260" s="229"/>
      <c r="S260" s="231"/>
      <c r="T260" s="229"/>
      <c r="U260" s="196">
        <v>259</v>
      </c>
    </row>
    <row r="261" spans="1:21" ht="15" customHeight="1">
      <c r="A261" s="190" t="str">
        <f t="shared" si="16"/>
        <v>260- -W</v>
      </c>
      <c r="B261" s="123"/>
      <c r="C261" s="125"/>
      <c r="D261" s="190" t="str" cm="1">
        <f t="array" ref="D261">IFERROR(VLOOKUP(C261,Old_Model_Registry!$B$2:$K$500,{3,10,8,9},0),"")</f>
        <v/>
      </c>
      <c r="E261" s="190"/>
      <c r="F261" s="190"/>
      <c r="G261" s="191"/>
      <c r="H261" s="192">
        <f t="shared" si="17"/>
        <v>0</v>
      </c>
      <c r="I261" s="121"/>
      <c r="J261" s="193" t="str" cm="1">
        <f t="array" ref="J261">IF(I261="No-Retrofit",F261,IFERROR(VLOOKUP(I261,Vstack!$A$2:$L$1000,{8},0),""))</f>
        <v/>
      </c>
      <c r="K261" s="224" t="str" cm="1">
        <f t="array" ref="K261">IF(I261="No-Retrofit",F261,IFERROR(VLOOKUP(I261,Vstack!$A$2:$L$1000,{9},0)*N261,""))</f>
        <v/>
      </c>
      <c r="L261" s="193" t="str" cm="1">
        <f t="array" ref="L261">IF(I261="No-Retrofit",F261,IFERROR(VLOOKUP(I261,Vstack!$A$2:$L$1000,{10,4},0),""))</f>
        <v/>
      </c>
      <c r="M261" s="193"/>
      <c r="N261" s="121"/>
      <c r="O261" s="193" t="str">
        <f t="shared" si="18"/>
        <v/>
      </c>
      <c r="P261" s="195" t="str">
        <f t="shared" si="19"/>
        <v/>
      </c>
      <c r="Q261" s="246"/>
      <c r="R261" s="229"/>
      <c r="S261" s="245"/>
      <c r="T261" s="229"/>
      <c r="U261" s="196">
        <v>260</v>
      </c>
    </row>
    <row r="262" spans="1:21" ht="15" customHeight="1">
      <c r="A262" s="190" t="str">
        <f t="shared" si="16"/>
        <v>261- -W</v>
      </c>
      <c r="B262" s="123"/>
      <c r="C262" s="125"/>
      <c r="D262" s="190" t="str" cm="1">
        <f t="array" ref="D262">IFERROR(VLOOKUP(C262,Old_Model_Registry!$B$2:$K$500,{3,10,8,9},0),"")</f>
        <v/>
      </c>
      <c r="E262" s="190"/>
      <c r="F262" s="190"/>
      <c r="G262" s="191"/>
      <c r="H262" s="192">
        <f t="shared" si="17"/>
        <v>0</v>
      </c>
      <c r="I262" s="121"/>
      <c r="J262" s="193" t="str" cm="1">
        <f t="array" ref="J262">IF(I262="No-Retrofit",F262,IFERROR(VLOOKUP(I262,Vstack!$A$2:$L$1000,{8},0),""))</f>
        <v/>
      </c>
      <c r="K262" s="224" t="str" cm="1">
        <f t="array" ref="K262">IF(I262="No-Retrofit",F262,IFERROR(VLOOKUP(I262,Vstack!$A$2:$L$1000,{9},0)*N262,""))</f>
        <v/>
      </c>
      <c r="L262" s="193" t="str" cm="1">
        <f t="array" ref="L262">IF(I262="No-Retrofit",F262,IFERROR(VLOOKUP(I262,Vstack!$A$2:$L$1000,{10,4},0),""))</f>
        <v/>
      </c>
      <c r="M262" s="193"/>
      <c r="N262" s="121"/>
      <c r="O262" s="193" t="str">
        <f t="shared" si="18"/>
        <v/>
      </c>
      <c r="P262" s="195" t="str">
        <f t="shared" si="19"/>
        <v/>
      </c>
      <c r="Q262" s="246"/>
      <c r="R262" s="229"/>
      <c r="S262" s="245"/>
      <c r="T262" s="229"/>
      <c r="U262" s="196">
        <v>261</v>
      </c>
    </row>
    <row r="263" spans="1:21" ht="15" customHeight="1">
      <c r="A263" s="190" t="str">
        <f t="shared" si="16"/>
        <v>262- -W</v>
      </c>
      <c r="B263" s="123"/>
      <c r="C263" s="125"/>
      <c r="D263" s="190" t="str" cm="1">
        <f t="array" ref="D263">IFERROR(VLOOKUP(C263,Old_Model_Registry!$B$2:$K$500,{3,10,8,9},0),"")</f>
        <v/>
      </c>
      <c r="E263" s="190"/>
      <c r="F263" s="190"/>
      <c r="G263" s="191"/>
      <c r="H263" s="192">
        <f t="shared" si="17"/>
        <v>0</v>
      </c>
      <c r="I263" s="121"/>
      <c r="J263" s="193" t="str" cm="1">
        <f t="array" ref="J263">IF(I263="No-Retrofit",F263,IFERROR(VLOOKUP(I263,Vstack!$A$2:$L$1000,{8},0),""))</f>
        <v/>
      </c>
      <c r="K263" s="224" t="str" cm="1">
        <f t="array" ref="K263">IF(I263="No-Retrofit",F263,IFERROR(VLOOKUP(I263,Vstack!$A$2:$L$1000,{9},0)*N263,""))</f>
        <v/>
      </c>
      <c r="L263" s="193" t="str" cm="1">
        <f t="array" ref="L263">IF(I263="No-Retrofit",F263,IFERROR(VLOOKUP(I263,Vstack!$A$2:$L$1000,{10,4},0),""))</f>
        <v/>
      </c>
      <c r="M263" s="193"/>
      <c r="N263" s="121"/>
      <c r="O263" s="193" t="str">
        <f t="shared" si="18"/>
        <v/>
      </c>
      <c r="P263" s="195" t="str">
        <f t="shared" si="19"/>
        <v/>
      </c>
      <c r="Q263" s="246"/>
      <c r="R263" s="229"/>
      <c r="S263" s="245"/>
      <c r="T263" s="229"/>
      <c r="U263" s="196">
        <v>262</v>
      </c>
    </row>
    <row r="264" spans="1:21" ht="15" customHeight="1">
      <c r="A264" s="190" t="str">
        <f t="shared" si="16"/>
        <v>263- -W</v>
      </c>
      <c r="B264" s="123"/>
      <c r="C264" s="125"/>
      <c r="D264" s="190" t="str" cm="1">
        <f t="array" ref="D264">IFERROR(VLOOKUP(C264,Old_Model_Registry!$B$2:$K$500,{3,10,8,9},0),"")</f>
        <v/>
      </c>
      <c r="E264" s="190"/>
      <c r="F264" s="190"/>
      <c r="G264" s="191"/>
      <c r="H264" s="192">
        <f t="shared" si="17"/>
        <v>0</v>
      </c>
      <c r="I264" s="121"/>
      <c r="J264" s="193" t="str" cm="1">
        <f t="array" ref="J264">IF(I264="No-Retrofit",F264,IFERROR(VLOOKUP(I264,Vstack!$A$2:$L$1000,{8},0),""))</f>
        <v/>
      </c>
      <c r="K264" s="224" t="str" cm="1">
        <f t="array" ref="K264">IF(I264="No-Retrofit",F264,IFERROR(VLOOKUP(I264,Vstack!$A$2:$L$1000,{9},0)*N264,""))</f>
        <v/>
      </c>
      <c r="L264" s="193" t="str" cm="1">
        <f t="array" ref="L264">IF(I264="No-Retrofit",F264,IFERROR(VLOOKUP(I264,Vstack!$A$2:$L$1000,{10,4},0),""))</f>
        <v/>
      </c>
      <c r="M264" s="193"/>
      <c r="N264" s="121"/>
      <c r="O264" s="193" t="str">
        <f t="shared" si="18"/>
        <v/>
      </c>
      <c r="P264" s="195" t="str">
        <f t="shared" si="19"/>
        <v/>
      </c>
      <c r="Q264" s="246"/>
      <c r="R264" s="229"/>
      <c r="S264" s="231"/>
      <c r="T264" s="229"/>
      <c r="U264" s="196">
        <v>263</v>
      </c>
    </row>
    <row r="265" spans="1:21" ht="15" customHeight="1">
      <c r="A265" s="190" t="str">
        <f t="shared" si="16"/>
        <v>264- -W</v>
      </c>
      <c r="B265" s="123"/>
      <c r="C265" s="125"/>
      <c r="D265" s="190" t="str" cm="1">
        <f t="array" ref="D265">IFERROR(VLOOKUP(C265,Old_Model_Registry!$B$2:$K$500,{3,10,8,9},0),"")</f>
        <v/>
      </c>
      <c r="E265" s="190"/>
      <c r="F265" s="190"/>
      <c r="G265" s="191"/>
      <c r="H265" s="192">
        <f t="shared" si="17"/>
        <v>0</v>
      </c>
      <c r="I265" s="121"/>
      <c r="J265" s="193" t="str" cm="1">
        <f t="array" ref="J265">IF(I265="No-Retrofit",F265,IFERROR(VLOOKUP(I265,Vstack!$A$2:$L$1000,{8},0),""))</f>
        <v/>
      </c>
      <c r="K265" s="224" t="str" cm="1">
        <f t="array" ref="K265">IF(I265="No-Retrofit",F265,IFERROR(VLOOKUP(I265,Vstack!$A$2:$L$1000,{9},0)*N265,""))</f>
        <v/>
      </c>
      <c r="L265" s="193" t="str" cm="1">
        <f t="array" ref="L265">IF(I265="No-Retrofit",F265,IFERROR(VLOOKUP(I265,Vstack!$A$2:$L$1000,{10,4},0),""))</f>
        <v/>
      </c>
      <c r="M265" s="193"/>
      <c r="N265" s="121"/>
      <c r="O265" s="193" t="str">
        <f t="shared" si="18"/>
        <v/>
      </c>
      <c r="P265" s="195" t="str">
        <f t="shared" si="19"/>
        <v/>
      </c>
      <c r="Q265" s="246"/>
      <c r="R265" s="229"/>
      <c r="S265" s="231"/>
      <c r="T265" s="229"/>
      <c r="U265" s="196">
        <v>264</v>
      </c>
    </row>
    <row r="266" spans="1:21" ht="15" customHeight="1">
      <c r="A266" s="190" t="str">
        <f t="shared" si="16"/>
        <v>265- -W</v>
      </c>
      <c r="B266" s="123"/>
      <c r="C266" s="125"/>
      <c r="D266" s="190" t="str" cm="1">
        <f t="array" ref="D266">IFERROR(VLOOKUP(C266,Old_Model_Registry!$B$2:$K$500,{3,10,8,9},0),"")</f>
        <v/>
      </c>
      <c r="E266" s="190"/>
      <c r="F266" s="190"/>
      <c r="G266" s="191"/>
      <c r="H266" s="192">
        <f t="shared" si="17"/>
        <v>0</v>
      </c>
      <c r="I266" s="121"/>
      <c r="J266" s="193" t="str" cm="1">
        <f t="array" ref="J266">IF(I266="No-Retrofit",F266,IFERROR(VLOOKUP(I266,Vstack!$A$2:$L$1000,{8},0),""))</f>
        <v/>
      </c>
      <c r="K266" s="224" t="str" cm="1">
        <f t="array" ref="K266">IF(I266="No-Retrofit",F266,IFERROR(VLOOKUP(I266,Vstack!$A$2:$L$1000,{9},0)*N266,""))</f>
        <v/>
      </c>
      <c r="L266" s="193" t="str" cm="1">
        <f t="array" ref="L266">IF(I266="No-Retrofit",F266,IFERROR(VLOOKUP(I266,Vstack!$A$2:$L$1000,{10,4},0),""))</f>
        <v/>
      </c>
      <c r="M266" s="193"/>
      <c r="N266" s="121"/>
      <c r="O266" s="193" t="str">
        <f t="shared" si="18"/>
        <v/>
      </c>
      <c r="P266" s="195" t="str">
        <f t="shared" si="19"/>
        <v/>
      </c>
      <c r="Q266" s="246"/>
      <c r="R266" s="229"/>
      <c r="S266" s="231"/>
      <c r="T266" s="229"/>
      <c r="U266" s="196">
        <v>265</v>
      </c>
    </row>
    <row r="267" spans="1:21" ht="15" customHeight="1">
      <c r="A267" s="190" t="str">
        <f t="shared" si="16"/>
        <v>266- -W</v>
      </c>
      <c r="B267" s="123"/>
      <c r="C267" s="125"/>
      <c r="D267" s="190" t="str" cm="1">
        <f t="array" ref="D267">IFERROR(VLOOKUP(C267,Old_Model_Registry!$B$2:$K$500,{3,10,8,9},0),"")</f>
        <v/>
      </c>
      <c r="E267" s="190"/>
      <c r="F267" s="190"/>
      <c r="G267" s="191"/>
      <c r="H267" s="192">
        <f t="shared" si="17"/>
        <v>0</v>
      </c>
      <c r="I267" s="121"/>
      <c r="J267" s="193" t="str" cm="1">
        <f t="array" ref="J267">IF(I267="No-Retrofit",F267,IFERROR(VLOOKUP(I267,Vstack!$A$2:$L$1000,{8},0),""))</f>
        <v/>
      </c>
      <c r="K267" s="224" t="str" cm="1">
        <f t="array" ref="K267">IF(I267="No-Retrofit",F267,IFERROR(VLOOKUP(I267,Vstack!$A$2:$L$1000,{9},0)*N267,""))</f>
        <v/>
      </c>
      <c r="L267" s="193" t="str" cm="1">
        <f t="array" ref="L267">IF(I267="No-Retrofit",F267,IFERROR(VLOOKUP(I267,Vstack!$A$2:$L$1000,{10,4},0),""))</f>
        <v/>
      </c>
      <c r="M267" s="193"/>
      <c r="N267" s="121"/>
      <c r="O267" s="193" t="str">
        <f t="shared" si="18"/>
        <v/>
      </c>
      <c r="P267" s="195" t="str">
        <f t="shared" si="19"/>
        <v/>
      </c>
      <c r="Q267" s="246"/>
      <c r="R267" s="229"/>
      <c r="S267" s="245"/>
      <c r="T267" s="229"/>
      <c r="U267" s="196">
        <v>266</v>
      </c>
    </row>
    <row r="268" spans="1:21" ht="15" customHeight="1">
      <c r="A268" s="190" t="str">
        <f t="shared" si="16"/>
        <v>267- -W</v>
      </c>
      <c r="B268" s="123"/>
      <c r="C268" s="125"/>
      <c r="D268" s="190" t="str" cm="1">
        <f t="array" ref="D268">IFERROR(VLOOKUP(C268,Old_Model_Registry!$B$2:$K$500,{3,10,8,9},0),"")</f>
        <v/>
      </c>
      <c r="E268" s="190"/>
      <c r="F268" s="190"/>
      <c r="G268" s="191"/>
      <c r="H268" s="192">
        <f t="shared" si="17"/>
        <v>0</v>
      </c>
      <c r="I268" s="121"/>
      <c r="J268" s="193" t="str" cm="1">
        <f t="array" ref="J268">IF(I268="No-Retrofit",F268,IFERROR(VLOOKUP(I268,Vstack!$A$2:$L$1000,{8},0),""))</f>
        <v/>
      </c>
      <c r="K268" s="224" t="str" cm="1">
        <f t="array" ref="K268">IF(I268="No-Retrofit",F268,IFERROR(VLOOKUP(I268,Vstack!$A$2:$L$1000,{9},0)*N268,""))</f>
        <v/>
      </c>
      <c r="L268" s="193" t="str" cm="1">
        <f t="array" ref="L268">IF(I268="No-Retrofit",F268,IFERROR(VLOOKUP(I268,Vstack!$A$2:$L$1000,{10,4},0),""))</f>
        <v/>
      </c>
      <c r="M268" s="193"/>
      <c r="N268" s="121"/>
      <c r="O268" s="193" t="str">
        <f t="shared" si="18"/>
        <v/>
      </c>
      <c r="P268" s="195" t="str">
        <f t="shared" si="19"/>
        <v/>
      </c>
      <c r="Q268" s="246"/>
      <c r="R268" s="229"/>
      <c r="S268" s="231"/>
      <c r="T268" s="229"/>
      <c r="U268" s="196">
        <v>267</v>
      </c>
    </row>
    <row r="269" spans="1:21" ht="15" customHeight="1">
      <c r="A269" s="190" t="str">
        <f t="shared" si="16"/>
        <v>268- -W</v>
      </c>
      <c r="B269" s="123"/>
      <c r="C269" s="125"/>
      <c r="D269" s="190" t="str" cm="1">
        <f t="array" ref="D269">IFERROR(VLOOKUP(C269,Old_Model_Registry!$B$2:$K$500,{3,10,8,9},0),"")</f>
        <v/>
      </c>
      <c r="E269" s="190"/>
      <c r="F269" s="190"/>
      <c r="G269" s="191"/>
      <c r="H269" s="192">
        <f t="shared" si="17"/>
        <v>0</v>
      </c>
      <c r="I269" s="121"/>
      <c r="J269" s="193" t="str" cm="1">
        <f t="array" ref="J269">IF(I269="No-Retrofit",F269,IFERROR(VLOOKUP(I269,Vstack!$A$2:$L$1000,{8},0),""))</f>
        <v/>
      </c>
      <c r="K269" s="224" t="str" cm="1">
        <f t="array" ref="K269">IF(I269="No-Retrofit",F269,IFERROR(VLOOKUP(I269,Vstack!$A$2:$L$1000,{9},0)*N269,""))</f>
        <v/>
      </c>
      <c r="L269" s="193" t="str" cm="1">
        <f t="array" ref="L269">IF(I269="No-Retrofit",F269,IFERROR(VLOOKUP(I269,Vstack!$A$2:$L$1000,{10,4},0),""))</f>
        <v/>
      </c>
      <c r="M269" s="193"/>
      <c r="N269" s="121"/>
      <c r="O269" s="193" t="str">
        <f t="shared" si="18"/>
        <v/>
      </c>
      <c r="P269" s="195" t="str">
        <f t="shared" si="19"/>
        <v/>
      </c>
      <c r="Q269" s="246"/>
      <c r="R269" s="229"/>
      <c r="S269" s="245"/>
      <c r="T269" s="229"/>
      <c r="U269" s="196">
        <v>268</v>
      </c>
    </row>
    <row r="270" spans="1:21" ht="15" customHeight="1">
      <c r="A270" s="190" t="str">
        <f t="shared" si="16"/>
        <v>269- -W</v>
      </c>
      <c r="B270" s="123"/>
      <c r="C270" s="125"/>
      <c r="D270" s="190" t="str" cm="1">
        <f t="array" ref="D270">IFERROR(VLOOKUP(C270,Old_Model_Registry!$B$2:$K$500,{3,10,8,9},0),"")</f>
        <v/>
      </c>
      <c r="E270" s="190"/>
      <c r="F270" s="190"/>
      <c r="G270" s="191"/>
      <c r="H270" s="192">
        <f t="shared" si="17"/>
        <v>0</v>
      </c>
      <c r="I270" s="121"/>
      <c r="J270" s="193" t="str" cm="1">
        <f t="array" ref="J270">IF(I270="No-Retrofit",F270,IFERROR(VLOOKUP(I270,Vstack!$A$2:$L$1000,{8},0),""))</f>
        <v/>
      </c>
      <c r="K270" s="224" t="str" cm="1">
        <f t="array" ref="K270">IF(I270="No-Retrofit",F270,IFERROR(VLOOKUP(I270,Vstack!$A$2:$L$1000,{9},0)*N270,""))</f>
        <v/>
      </c>
      <c r="L270" s="193" t="str" cm="1">
        <f t="array" ref="L270">IF(I270="No-Retrofit",F270,IFERROR(VLOOKUP(I270,Vstack!$A$2:$L$1000,{10,4},0),""))</f>
        <v/>
      </c>
      <c r="M270" s="193"/>
      <c r="N270" s="121"/>
      <c r="O270" s="193" t="str">
        <f t="shared" si="18"/>
        <v/>
      </c>
      <c r="P270" s="195" t="str">
        <f t="shared" si="19"/>
        <v/>
      </c>
      <c r="Q270" s="246"/>
      <c r="R270" s="229"/>
      <c r="S270" s="231"/>
      <c r="T270" s="229"/>
      <c r="U270" s="196">
        <v>269</v>
      </c>
    </row>
    <row r="271" spans="1:21" ht="15" customHeight="1">
      <c r="A271" s="190" t="str">
        <f t="shared" si="16"/>
        <v>270- -W</v>
      </c>
      <c r="B271" s="123"/>
      <c r="C271" s="125"/>
      <c r="D271" s="190" t="str" cm="1">
        <f t="array" ref="D271">IFERROR(VLOOKUP(C271,Old_Model_Registry!$B$2:$K$500,{3,10,8,9},0),"")</f>
        <v/>
      </c>
      <c r="E271" s="190"/>
      <c r="F271" s="190"/>
      <c r="G271" s="191"/>
      <c r="H271" s="192">
        <f t="shared" si="17"/>
        <v>0</v>
      </c>
      <c r="I271" s="121"/>
      <c r="J271" s="193" t="str" cm="1">
        <f t="array" ref="J271">IF(I271="No-Retrofit",F271,IFERROR(VLOOKUP(I271,Vstack!$A$2:$L$1000,{8},0),""))</f>
        <v/>
      </c>
      <c r="K271" s="224" t="str" cm="1">
        <f t="array" ref="K271">IF(I271="No-Retrofit",F271,IFERROR(VLOOKUP(I271,Vstack!$A$2:$L$1000,{9},0)*N271,""))</f>
        <v/>
      </c>
      <c r="L271" s="193" t="str" cm="1">
        <f t="array" ref="L271">IF(I271="No-Retrofit",F271,IFERROR(VLOOKUP(I271,Vstack!$A$2:$L$1000,{10,4},0),""))</f>
        <v/>
      </c>
      <c r="M271" s="193"/>
      <c r="N271" s="121"/>
      <c r="O271" s="193" t="str">
        <f t="shared" si="18"/>
        <v/>
      </c>
      <c r="P271" s="195" t="str">
        <f t="shared" si="19"/>
        <v/>
      </c>
      <c r="Q271" s="246"/>
      <c r="R271" s="229"/>
      <c r="S271" s="231"/>
      <c r="T271" s="229"/>
      <c r="U271" s="196">
        <v>270</v>
      </c>
    </row>
    <row r="272" spans="1:21" ht="15" customHeight="1">
      <c r="A272" s="190" t="str">
        <f t="shared" si="16"/>
        <v>271- -W</v>
      </c>
      <c r="B272" s="123"/>
      <c r="C272" s="125"/>
      <c r="D272" s="190" t="str" cm="1">
        <f t="array" ref="D272">IFERROR(VLOOKUP(C272,Old_Model_Registry!$B$2:$K$500,{3,10,8,9},0),"")</f>
        <v/>
      </c>
      <c r="E272" s="190"/>
      <c r="F272" s="190"/>
      <c r="G272" s="191"/>
      <c r="H272" s="192">
        <f t="shared" si="17"/>
        <v>0</v>
      </c>
      <c r="I272" s="121"/>
      <c r="J272" s="193" t="str" cm="1">
        <f t="array" ref="J272">IF(I272="No-Retrofit",F272,IFERROR(VLOOKUP(I272,Vstack!$A$2:$L$1000,{8},0),""))</f>
        <v/>
      </c>
      <c r="K272" s="224" t="str" cm="1">
        <f t="array" ref="K272">IF(I272="No-Retrofit",F272,IFERROR(VLOOKUP(I272,Vstack!$A$2:$L$1000,{9},0)*N272,""))</f>
        <v/>
      </c>
      <c r="L272" s="193" t="str" cm="1">
        <f t="array" ref="L272">IF(I272="No-Retrofit",F272,IFERROR(VLOOKUP(I272,Vstack!$A$2:$L$1000,{10,4},0),""))</f>
        <v/>
      </c>
      <c r="M272" s="193"/>
      <c r="N272" s="121"/>
      <c r="O272" s="193" t="str">
        <f t="shared" si="18"/>
        <v/>
      </c>
      <c r="P272" s="195" t="str">
        <f t="shared" si="19"/>
        <v/>
      </c>
      <c r="Q272" s="246"/>
      <c r="R272" s="229"/>
      <c r="S272" s="245"/>
      <c r="T272" s="229"/>
      <c r="U272" s="196">
        <v>271</v>
      </c>
    </row>
    <row r="273" spans="1:21" ht="15" customHeight="1">
      <c r="A273" s="190" t="str">
        <f t="shared" si="16"/>
        <v>272- -W</v>
      </c>
      <c r="B273" s="123"/>
      <c r="C273" s="125"/>
      <c r="D273" s="190" t="str" cm="1">
        <f t="array" ref="D273">IFERROR(VLOOKUP(C273,Old_Model_Registry!$B$2:$K$500,{3,10,8,9},0),"")</f>
        <v/>
      </c>
      <c r="E273" s="190"/>
      <c r="F273" s="190"/>
      <c r="G273" s="191"/>
      <c r="H273" s="192">
        <f t="shared" si="17"/>
        <v>0</v>
      </c>
      <c r="I273" s="121"/>
      <c r="J273" s="193" t="str" cm="1">
        <f t="array" ref="J273">IF(I273="No-Retrofit",F273,IFERROR(VLOOKUP(I273,Vstack!$A$2:$L$1000,{8},0),""))</f>
        <v/>
      </c>
      <c r="K273" s="224" t="str" cm="1">
        <f t="array" ref="K273">IF(I273="No-Retrofit",F273,IFERROR(VLOOKUP(I273,Vstack!$A$2:$L$1000,{9},0)*N273,""))</f>
        <v/>
      </c>
      <c r="L273" s="193" t="str" cm="1">
        <f t="array" ref="L273">IF(I273="No-Retrofit",F273,IFERROR(VLOOKUP(I273,Vstack!$A$2:$L$1000,{10,4},0),""))</f>
        <v/>
      </c>
      <c r="M273" s="193"/>
      <c r="N273" s="121"/>
      <c r="O273" s="193" t="str">
        <f t="shared" si="18"/>
        <v/>
      </c>
      <c r="P273" s="195" t="str">
        <f t="shared" si="19"/>
        <v/>
      </c>
      <c r="Q273" s="246"/>
      <c r="R273" s="229"/>
      <c r="S273" s="245"/>
      <c r="T273" s="229"/>
      <c r="U273" s="196">
        <v>272</v>
      </c>
    </row>
    <row r="274" spans="1:21" ht="15" customHeight="1">
      <c r="A274" s="190" t="str">
        <f t="shared" si="16"/>
        <v>273- -W</v>
      </c>
      <c r="B274" s="123"/>
      <c r="C274" s="125"/>
      <c r="D274" s="190" t="str" cm="1">
        <f t="array" ref="D274">IFERROR(VLOOKUP(C274,Old_Model_Registry!$B$2:$K$500,{3,10,8,9},0),"")</f>
        <v/>
      </c>
      <c r="E274" s="190"/>
      <c r="F274" s="190"/>
      <c r="G274" s="191"/>
      <c r="H274" s="192">
        <f t="shared" si="17"/>
        <v>0</v>
      </c>
      <c r="I274" s="121"/>
      <c r="J274" s="193" t="str" cm="1">
        <f t="array" ref="J274">IF(I274="No-Retrofit",F274,IFERROR(VLOOKUP(I274,Vstack!$A$2:$L$1000,{8},0),""))</f>
        <v/>
      </c>
      <c r="K274" s="224" t="str" cm="1">
        <f t="array" ref="K274">IF(I274="No-Retrofit",F274,IFERROR(VLOOKUP(I274,Vstack!$A$2:$L$1000,{9},0)*N274,""))</f>
        <v/>
      </c>
      <c r="L274" s="193" t="str" cm="1">
        <f t="array" ref="L274">IF(I274="No-Retrofit",F274,IFERROR(VLOOKUP(I274,Vstack!$A$2:$L$1000,{10,4},0),""))</f>
        <v/>
      </c>
      <c r="M274" s="193"/>
      <c r="N274" s="121"/>
      <c r="O274" s="193" t="str">
        <f t="shared" si="18"/>
        <v/>
      </c>
      <c r="P274" s="195" t="str">
        <f t="shared" si="19"/>
        <v/>
      </c>
      <c r="Q274" s="246"/>
      <c r="R274" s="229"/>
      <c r="S274" s="245"/>
      <c r="T274" s="229"/>
      <c r="U274" s="196">
        <v>273</v>
      </c>
    </row>
    <row r="275" spans="1:21" ht="15" customHeight="1">
      <c r="A275" s="190" t="str">
        <f t="shared" si="16"/>
        <v>274- -W</v>
      </c>
      <c r="B275" s="123"/>
      <c r="C275" s="125"/>
      <c r="D275" s="190" t="str" cm="1">
        <f t="array" ref="D275">IFERROR(VLOOKUP(C275,Old_Model_Registry!$B$2:$K$500,{3,10,8,9},0),"")</f>
        <v/>
      </c>
      <c r="E275" s="190"/>
      <c r="F275" s="190"/>
      <c r="G275" s="191"/>
      <c r="H275" s="192">
        <f t="shared" si="17"/>
        <v>0</v>
      </c>
      <c r="I275" s="121"/>
      <c r="J275" s="193" t="str" cm="1">
        <f t="array" ref="J275">IF(I275="No-Retrofit",F275,IFERROR(VLOOKUP(I275,Vstack!$A$2:$L$1000,{8},0),""))</f>
        <v/>
      </c>
      <c r="K275" s="224" t="str" cm="1">
        <f t="array" ref="K275">IF(I275="No-Retrofit",F275,IFERROR(VLOOKUP(I275,Vstack!$A$2:$L$1000,{9},0)*N275,""))</f>
        <v/>
      </c>
      <c r="L275" s="193" t="str" cm="1">
        <f t="array" ref="L275">IF(I275="No-Retrofit",F275,IFERROR(VLOOKUP(I275,Vstack!$A$2:$L$1000,{10,4},0),""))</f>
        <v/>
      </c>
      <c r="M275" s="193"/>
      <c r="N275" s="121"/>
      <c r="O275" s="193" t="str">
        <f t="shared" si="18"/>
        <v/>
      </c>
      <c r="P275" s="195" t="str">
        <f t="shared" si="19"/>
        <v/>
      </c>
      <c r="Q275" s="246"/>
      <c r="R275" s="229"/>
      <c r="S275" s="245"/>
      <c r="T275" s="229"/>
      <c r="U275" s="196">
        <v>274</v>
      </c>
    </row>
    <row r="276" spans="1:21" ht="15" customHeight="1">
      <c r="A276" s="190" t="str">
        <f t="shared" si="16"/>
        <v>275- -W</v>
      </c>
      <c r="B276" s="123"/>
      <c r="C276" s="125"/>
      <c r="D276" s="190" t="str" cm="1">
        <f t="array" ref="D276">IFERROR(VLOOKUP(C276,Old_Model_Registry!$B$2:$K$500,{3,10,8,9},0),"")</f>
        <v/>
      </c>
      <c r="E276" s="190"/>
      <c r="F276" s="190"/>
      <c r="G276" s="191"/>
      <c r="H276" s="192">
        <f t="shared" si="17"/>
        <v>0</v>
      </c>
      <c r="I276" s="121"/>
      <c r="J276" s="193" t="str" cm="1">
        <f t="array" ref="J276">IF(I276="No-Retrofit",F276,IFERROR(VLOOKUP(I276,Vstack!$A$2:$L$1000,{8},0),""))</f>
        <v/>
      </c>
      <c r="K276" s="224" t="str" cm="1">
        <f t="array" ref="K276">IF(I276="No-Retrofit",F276,IFERROR(VLOOKUP(I276,Vstack!$A$2:$L$1000,{9},0)*N276,""))</f>
        <v/>
      </c>
      <c r="L276" s="193" t="str" cm="1">
        <f t="array" ref="L276">IF(I276="No-Retrofit",F276,IFERROR(VLOOKUP(I276,Vstack!$A$2:$L$1000,{10,4},0),""))</f>
        <v/>
      </c>
      <c r="M276" s="193"/>
      <c r="N276" s="121"/>
      <c r="O276" s="193" t="str">
        <f t="shared" si="18"/>
        <v/>
      </c>
      <c r="P276" s="195" t="str">
        <f t="shared" si="19"/>
        <v/>
      </c>
      <c r="Q276" s="246"/>
      <c r="R276" s="229"/>
      <c r="S276" s="245"/>
      <c r="T276" s="229"/>
      <c r="U276" s="196">
        <v>275</v>
      </c>
    </row>
    <row r="277" spans="1:21" ht="15" customHeight="1">
      <c r="A277" s="190" t="str">
        <f t="shared" si="16"/>
        <v>276- -W</v>
      </c>
      <c r="B277" s="123"/>
      <c r="C277" s="125"/>
      <c r="D277" s="190" t="str" cm="1">
        <f t="array" ref="D277">IFERROR(VLOOKUP(C277,Old_Model_Registry!$B$2:$K$500,{3,10,8,9},0),"")</f>
        <v/>
      </c>
      <c r="E277" s="190"/>
      <c r="F277" s="190"/>
      <c r="G277" s="191"/>
      <c r="H277" s="192">
        <f t="shared" si="17"/>
        <v>0</v>
      </c>
      <c r="I277" s="121"/>
      <c r="J277" s="193" t="str" cm="1">
        <f t="array" ref="J277">IF(I277="No-Retrofit",F277,IFERROR(VLOOKUP(I277,Vstack!$A$2:$L$1000,{8},0),""))</f>
        <v/>
      </c>
      <c r="K277" s="224" t="str" cm="1">
        <f t="array" ref="K277">IF(I277="No-Retrofit",F277,IFERROR(VLOOKUP(I277,Vstack!$A$2:$L$1000,{9},0)*N277,""))</f>
        <v/>
      </c>
      <c r="L277" s="193" t="str" cm="1">
        <f t="array" ref="L277">IF(I277="No-Retrofit",F277,IFERROR(VLOOKUP(I277,Vstack!$A$2:$L$1000,{10,4},0),""))</f>
        <v/>
      </c>
      <c r="M277" s="193"/>
      <c r="N277" s="121"/>
      <c r="O277" s="193" t="str">
        <f t="shared" si="18"/>
        <v/>
      </c>
      <c r="P277" s="195" t="str">
        <f t="shared" si="19"/>
        <v/>
      </c>
      <c r="Q277" s="246"/>
      <c r="R277" s="229"/>
      <c r="S277" s="231"/>
      <c r="T277" s="229"/>
      <c r="U277" s="196">
        <v>276</v>
      </c>
    </row>
    <row r="278" spans="1:21" ht="15" customHeight="1">
      <c r="A278" s="190" t="str">
        <f t="shared" si="16"/>
        <v>277- -W</v>
      </c>
      <c r="B278" s="123"/>
      <c r="C278" s="125"/>
      <c r="D278" s="190" t="str" cm="1">
        <f t="array" ref="D278">IFERROR(VLOOKUP(C278,Old_Model_Registry!$B$2:$K$500,{3,10,8,9},0),"")</f>
        <v/>
      </c>
      <c r="E278" s="190"/>
      <c r="F278" s="190"/>
      <c r="G278" s="191"/>
      <c r="H278" s="192">
        <f t="shared" si="17"/>
        <v>0</v>
      </c>
      <c r="I278" s="121"/>
      <c r="J278" s="193" t="str" cm="1">
        <f t="array" ref="J278">IF(I278="No-Retrofit",F278,IFERROR(VLOOKUP(I278,Vstack!$A$2:$L$1000,{8},0),""))</f>
        <v/>
      </c>
      <c r="K278" s="224" t="str" cm="1">
        <f t="array" ref="K278">IF(I278="No-Retrofit",F278,IFERROR(VLOOKUP(I278,Vstack!$A$2:$L$1000,{9},0)*N278,""))</f>
        <v/>
      </c>
      <c r="L278" s="193" t="str" cm="1">
        <f t="array" ref="L278">IF(I278="No-Retrofit",F278,IFERROR(VLOOKUP(I278,Vstack!$A$2:$L$1000,{10,4},0),""))</f>
        <v/>
      </c>
      <c r="M278" s="193"/>
      <c r="N278" s="121"/>
      <c r="O278" s="193" t="str">
        <f t="shared" si="18"/>
        <v/>
      </c>
      <c r="P278" s="195" t="str">
        <f t="shared" si="19"/>
        <v/>
      </c>
      <c r="Q278" s="246"/>
      <c r="R278" s="229"/>
      <c r="S278" s="245"/>
      <c r="T278" s="229"/>
      <c r="U278" s="196">
        <v>277</v>
      </c>
    </row>
    <row r="279" spans="1:21" ht="15" customHeight="1">
      <c r="A279" s="190" t="str">
        <f t="shared" si="16"/>
        <v>278- -W</v>
      </c>
      <c r="B279" s="123"/>
      <c r="C279" s="125"/>
      <c r="D279" s="190" t="str" cm="1">
        <f t="array" ref="D279">IFERROR(VLOOKUP(C279,Old_Model_Registry!$B$2:$K$500,{3,10,8,9},0),"")</f>
        <v/>
      </c>
      <c r="E279" s="190"/>
      <c r="F279" s="190"/>
      <c r="G279" s="191"/>
      <c r="H279" s="192">
        <f t="shared" si="17"/>
        <v>0</v>
      </c>
      <c r="I279" s="121"/>
      <c r="J279" s="193" t="str" cm="1">
        <f t="array" ref="J279">IF(I279="No-Retrofit",F279,IFERROR(VLOOKUP(I279,Vstack!$A$2:$L$1000,{8},0),""))</f>
        <v/>
      </c>
      <c r="K279" s="224" t="str" cm="1">
        <f t="array" ref="K279">IF(I279="No-Retrofit",F279,IFERROR(VLOOKUP(I279,Vstack!$A$2:$L$1000,{9},0)*N279,""))</f>
        <v/>
      </c>
      <c r="L279" s="193" t="str" cm="1">
        <f t="array" ref="L279">IF(I279="No-Retrofit",F279,IFERROR(VLOOKUP(I279,Vstack!$A$2:$L$1000,{10,4},0),""))</f>
        <v/>
      </c>
      <c r="M279" s="193"/>
      <c r="N279" s="121"/>
      <c r="O279" s="193" t="str">
        <f t="shared" si="18"/>
        <v/>
      </c>
      <c r="P279" s="195" t="str">
        <f t="shared" si="19"/>
        <v/>
      </c>
      <c r="Q279" s="246"/>
      <c r="R279" s="229"/>
      <c r="S279" s="231"/>
      <c r="T279" s="229"/>
      <c r="U279" s="196">
        <v>278</v>
      </c>
    </row>
    <row r="280" spans="1:21" ht="15" customHeight="1">
      <c r="A280" s="190" t="str">
        <f t="shared" si="16"/>
        <v>279- -W</v>
      </c>
      <c r="B280" s="123"/>
      <c r="C280" s="125"/>
      <c r="D280" s="190" t="str" cm="1">
        <f t="array" ref="D280">IFERROR(VLOOKUP(C280,Old_Model_Registry!$B$2:$K$500,{3,10,8,9},0),"")</f>
        <v/>
      </c>
      <c r="E280" s="190"/>
      <c r="F280" s="190"/>
      <c r="G280" s="191"/>
      <c r="H280" s="192">
        <f t="shared" si="17"/>
        <v>0</v>
      </c>
      <c r="I280" s="121"/>
      <c r="J280" s="193" t="str" cm="1">
        <f t="array" ref="J280">IF(I280="No-Retrofit",F280,IFERROR(VLOOKUP(I280,Vstack!$A$2:$L$1000,{8},0),""))</f>
        <v/>
      </c>
      <c r="K280" s="224" t="str" cm="1">
        <f t="array" ref="K280">IF(I280="No-Retrofit",F280,IFERROR(VLOOKUP(I280,Vstack!$A$2:$L$1000,{9},0)*N280,""))</f>
        <v/>
      </c>
      <c r="L280" s="193" t="str" cm="1">
        <f t="array" ref="L280">IF(I280="No-Retrofit",F280,IFERROR(VLOOKUP(I280,Vstack!$A$2:$L$1000,{10,4},0),""))</f>
        <v/>
      </c>
      <c r="M280" s="193"/>
      <c r="N280" s="121"/>
      <c r="O280" s="193" t="str">
        <f t="shared" si="18"/>
        <v/>
      </c>
      <c r="P280" s="195" t="str">
        <f t="shared" si="19"/>
        <v/>
      </c>
      <c r="Q280" s="246"/>
      <c r="R280" s="229"/>
      <c r="S280" s="231"/>
      <c r="T280" s="229"/>
      <c r="U280" s="196">
        <v>279</v>
      </c>
    </row>
    <row r="281" spans="1:21" ht="15" customHeight="1">
      <c r="A281" s="190" t="str">
        <f t="shared" si="16"/>
        <v>280- -W</v>
      </c>
      <c r="B281" s="123"/>
      <c r="C281" s="125"/>
      <c r="D281" s="190" t="str" cm="1">
        <f t="array" ref="D281">IFERROR(VLOOKUP(C281,Old_Model_Registry!$B$2:$K$500,{3,10,8,9},0),"")</f>
        <v/>
      </c>
      <c r="E281" s="190"/>
      <c r="F281" s="190"/>
      <c r="G281" s="191"/>
      <c r="H281" s="192">
        <f t="shared" si="17"/>
        <v>0</v>
      </c>
      <c r="I281" s="121"/>
      <c r="J281" s="193" t="str" cm="1">
        <f t="array" ref="J281">IF(I281="No-Retrofit",F281,IFERROR(VLOOKUP(I281,Vstack!$A$2:$L$1000,{8},0),""))</f>
        <v/>
      </c>
      <c r="K281" s="224" t="str" cm="1">
        <f t="array" ref="K281">IF(I281="No-Retrofit",F281,IFERROR(VLOOKUP(I281,Vstack!$A$2:$L$1000,{9},0)*N281,""))</f>
        <v/>
      </c>
      <c r="L281" s="193" t="str" cm="1">
        <f t="array" ref="L281">IF(I281="No-Retrofit",F281,IFERROR(VLOOKUP(I281,Vstack!$A$2:$L$1000,{10,4},0),""))</f>
        <v/>
      </c>
      <c r="M281" s="193"/>
      <c r="N281" s="121"/>
      <c r="O281" s="193" t="str">
        <f t="shared" si="18"/>
        <v/>
      </c>
      <c r="P281" s="195" t="str">
        <f t="shared" si="19"/>
        <v/>
      </c>
      <c r="Q281" s="246"/>
      <c r="R281" s="229"/>
      <c r="S281" s="245"/>
      <c r="T281" s="229"/>
      <c r="U281" s="196">
        <v>280</v>
      </c>
    </row>
    <row r="282" spans="1:21" ht="15" customHeight="1">
      <c r="A282" s="190" t="str">
        <f t="shared" si="16"/>
        <v>281- -W</v>
      </c>
      <c r="B282" s="123"/>
      <c r="C282" s="125"/>
      <c r="D282" s="190" t="str" cm="1">
        <f t="array" ref="D282">IFERROR(VLOOKUP(C282,Old_Model_Registry!$B$2:$K$500,{3,10,8,9},0),"")</f>
        <v/>
      </c>
      <c r="E282" s="190"/>
      <c r="F282" s="190"/>
      <c r="G282" s="191"/>
      <c r="H282" s="192">
        <f t="shared" si="17"/>
        <v>0</v>
      </c>
      <c r="I282" s="121"/>
      <c r="J282" s="193" t="str" cm="1">
        <f t="array" ref="J282">IF(I282="No-Retrofit",F282,IFERROR(VLOOKUP(I282,Vstack!$A$2:$L$1000,{8},0),""))</f>
        <v/>
      </c>
      <c r="K282" s="224" t="str" cm="1">
        <f t="array" ref="K282">IF(I282="No-Retrofit",F282,IFERROR(VLOOKUP(I282,Vstack!$A$2:$L$1000,{9},0)*N282,""))</f>
        <v/>
      </c>
      <c r="L282" s="193" t="str" cm="1">
        <f t="array" ref="L282">IF(I282="No-Retrofit",F282,IFERROR(VLOOKUP(I282,Vstack!$A$2:$L$1000,{10,4},0),""))</f>
        <v/>
      </c>
      <c r="M282" s="193"/>
      <c r="N282" s="121"/>
      <c r="O282" s="193" t="str">
        <f t="shared" si="18"/>
        <v/>
      </c>
      <c r="P282" s="195" t="str">
        <f t="shared" si="19"/>
        <v/>
      </c>
      <c r="Q282" s="246"/>
      <c r="R282" s="229"/>
      <c r="S282" s="231"/>
      <c r="T282" s="229"/>
      <c r="U282" s="196">
        <v>281</v>
      </c>
    </row>
    <row r="283" spans="1:21" ht="15" customHeight="1">
      <c r="A283" s="190" t="str">
        <f t="shared" si="16"/>
        <v>282- -W</v>
      </c>
      <c r="B283" s="123"/>
      <c r="C283" s="125"/>
      <c r="D283" s="190" t="str" cm="1">
        <f t="array" ref="D283">IFERROR(VLOOKUP(C283,Old_Model_Registry!$B$2:$K$500,{3,10,8,9},0),"")</f>
        <v/>
      </c>
      <c r="E283" s="190"/>
      <c r="F283" s="190"/>
      <c r="G283" s="191"/>
      <c r="H283" s="192">
        <f t="shared" si="17"/>
        <v>0</v>
      </c>
      <c r="I283" s="121"/>
      <c r="J283" s="193" t="str" cm="1">
        <f t="array" ref="J283">IF(I283="No-Retrofit",F283,IFERROR(VLOOKUP(I283,Vstack!$A$2:$L$1000,{8},0),""))</f>
        <v/>
      </c>
      <c r="K283" s="224" t="str" cm="1">
        <f t="array" ref="K283">IF(I283="No-Retrofit",F283,IFERROR(VLOOKUP(I283,Vstack!$A$2:$L$1000,{9},0)*N283,""))</f>
        <v/>
      </c>
      <c r="L283" s="193" t="str" cm="1">
        <f t="array" ref="L283">IF(I283="No-Retrofit",F283,IFERROR(VLOOKUP(I283,Vstack!$A$2:$L$1000,{10,4},0),""))</f>
        <v/>
      </c>
      <c r="M283" s="193"/>
      <c r="N283" s="121"/>
      <c r="O283" s="193" t="str">
        <f t="shared" si="18"/>
        <v/>
      </c>
      <c r="P283" s="195" t="str">
        <f t="shared" si="19"/>
        <v/>
      </c>
      <c r="Q283" s="246"/>
      <c r="R283" s="229"/>
      <c r="S283" s="245"/>
      <c r="T283" s="229"/>
      <c r="U283" s="196">
        <v>282</v>
      </c>
    </row>
    <row r="284" spans="1:21" ht="15" customHeight="1">
      <c r="A284" s="190" t="str">
        <f t="shared" si="16"/>
        <v>283- -W</v>
      </c>
      <c r="B284" s="123"/>
      <c r="C284" s="125"/>
      <c r="D284" s="190" t="str" cm="1">
        <f t="array" ref="D284">IFERROR(VLOOKUP(C284,Old_Model_Registry!$B$2:$K$500,{3,10,8,9},0),"")</f>
        <v/>
      </c>
      <c r="E284" s="190"/>
      <c r="F284" s="190"/>
      <c r="G284" s="191"/>
      <c r="H284" s="192">
        <f t="shared" si="17"/>
        <v>0</v>
      </c>
      <c r="I284" s="121"/>
      <c r="J284" s="193" t="str" cm="1">
        <f t="array" ref="J284">IF(I284="No-Retrofit",F284,IFERROR(VLOOKUP(I284,Vstack!$A$2:$L$1000,{8},0),""))</f>
        <v/>
      </c>
      <c r="K284" s="224" t="str" cm="1">
        <f t="array" ref="K284">IF(I284="No-Retrofit",F284,IFERROR(VLOOKUP(I284,Vstack!$A$2:$L$1000,{9},0)*N284,""))</f>
        <v/>
      </c>
      <c r="L284" s="193" t="str" cm="1">
        <f t="array" ref="L284">IF(I284="No-Retrofit",F284,IFERROR(VLOOKUP(I284,Vstack!$A$2:$L$1000,{10,4},0),""))</f>
        <v/>
      </c>
      <c r="M284" s="193"/>
      <c r="N284" s="121"/>
      <c r="O284" s="193" t="str">
        <f t="shared" si="18"/>
        <v/>
      </c>
      <c r="P284" s="195" t="str">
        <f t="shared" si="19"/>
        <v/>
      </c>
      <c r="Q284" s="246"/>
      <c r="R284" s="229"/>
      <c r="S284" s="245"/>
      <c r="T284" s="229"/>
      <c r="U284" s="196">
        <v>283</v>
      </c>
    </row>
    <row r="285" spans="1:21" ht="15" customHeight="1">
      <c r="A285" s="190" t="str">
        <f t="shared" si="16"/>
        <v>284- -W</v>
      </c>
      <c r="B285" s="123"/>
      <c r="C285" s="125"/>
      <c r="D285" s="190" t="str" cm="1">
        <f t="array" ref="D285">IFERROR(VLOOKUP(C285,Old_Model_Registry!$B$2:$K$500,{3,10,8,9},0),"")</f>
        <v/>
      </c>
      <c r="E285" s="190"/>
      <c r="F285" s="190"/>
      <c r="G285" s="191"/>
      <c r="H285" s="192">
        <f t="shared" si="17"/>
        <v>0</v>
      </c>
      <c r="I285" s="121"/>
      <c r="J285" s="193" t="str" cm="1">
        <f t="array" ref="J285">IF(I285="No-Retrofit",F285,IFERROR(VLOOKUP(I285,Vstack!$A$2:$L$1000,{8},0),""))</f>
        <v/>
      </c>
      <c r="K285" s="224" t="str" cm="1">
        <f t="array" ref="K285">IF(I285="No-Retrofit",F285,IFERROR(VLOOKUP(I285,Vstack!$A$2:$L$1000,{9},0)*N285,""))</f>
        <v/>
      </c>
      <c r="L285" s="193" t="str" cm="1">
        <f t="array" ref="L285">IF(I285="No-Retrofit",F285,IFERROR(VLOOKUP(I285,Vstack!$A$2:$L$1000,{10,4},0),""))</f>
        <v/>
      </c>
      <c r="M285" s="193"/>
      <c r="N285" s="121"/>
      <c r="O285" s="193" t="str">
        <f t="shared" si="18"/>
        <v/>
      </c>
      <c r="P285" s="195" t="str">
        <f t="shared" si="19"/>
        <v/>
      </c>
      <c r="Q285" s="246"/>
      <c r="R285" s="229"/>
      <c r="S285" s="231"/>
      <c r="T285" s="229"/>
      <c r="U285" s="196">
        <v>284</v>
      </c>
    </row>
    <row r="286" spans="1:21" ht="15" customHeight="1">
      <c r="A286" s="190" t="str">
        <f t="shared" si="16"/>
        <v>285- -W</v>
      </c>
      <c r="B286" s="123"/>
      <c r="C286" s="125"/>
      <c r="D286" s="190" t="str" cm="1">
        <f t="array" ref="D286">IFERROR(VLOOKUP(C286,Old_Model_Registry!$B$2:$K$500,{3,10,8,9},0),"")</f>
        <v/>
      </c>
      <c r="E286" s="190"/>
      <c r="F286" s="190"/>
      <c r="G286" s="191"/>
      <c r="H286" s="192">
        <f t="shared" si="17"/>
        <v>0</v>
      </c>
      <c r="I286" s="121"/>
      <c r="J286" s="193" t="str" cm="1">
        <f t="array" ref="J286">IF(I286="No-Retrofit",F286,IFERROR(VLOOKUP(I286,Vstack!$A$2:$L$1000,{8},0),""))</f>
        <v/>
      </c>
      <c r="K286" s="224" t="str" cm="1">
        <f t="array" ref="K286">IF(I286="No-Retrofit",F286,IFERROR(VLOOKUP(I286,Vstack!$A$2:$L$1000,{9},0)*N286,""))</f>
        <v/>
      </c>
      <c r="L286" s="193" t="str" cm="1">
        <f t="array" ref="L286">IF(I286="No-Retrofit",F286,IFERROR(VLOOKUP(I286,Vstack!$A$2:$L$1000,{10,4},0),""))</f>
        <v/>
      </c>
      <c r="M286" s="193"/>
      <c r="N286" s="121"/>
      <c r="O286" s="193" t="str">
        <f t="shared" si="18"/>
        <v/>
      </c>
      <c r="P286" s="195" t="str">
        <f t="shared" si="19"/>
        <v/>
      </c>
      <c r="Q286" s="246"/>
      <c r="R286" s="229"/>
      <c r="S286" s="231"/>
      <c r="T286" s="229"/>
      <c r="U286" s="196">
        <v>285</v>
      </c>
    </row>
    <row r="287" spans="1:21" ht="15" customHeight="1">
      <c r="A287" s="190" t="str">
        <f t="shared" si="16"/>
        <v>286- -W</v>
      </c>
      <c r="B287" s="123"/>
      <c r="C287" s="125"/>
      <c r="D287" s="190" t="str" cm="1">
        <f t="array" ref="D287">IFERROR(VLOOKUP(C287,Old_Model_Registry!$B$2:$K$500,{3,10,8,9},0),"")</f>
        <v/>
      </c>
      <c r="E287" s="190"/>
      <c r="F287" s="190"/>
      <c r="G287" s="191"/>
      <c r="H287" s="192">
        <f t="shared" si="17"/>
        <v>0</v>
      </c>
      <c r="I287" s="121"/>
      <c r="J287" s="193" t="str" cm="1">
        <f t="array" ref="J287">IF(I287="No-Retrofit",F287,IFERROR(VLOOKUP(I287,Vstack!$A$2:$L$1000,{8},0),""))</f>
        <v/>
      </c>
      <c r="K287" s="224" t="str" cm="1">
        <f t="array" ref="K287">IF(I287="No-Retrofit",F287,IFERROR(VLOOKUP(I287,Vstack!$A$2:$L$1000,{9},0)*N287,""))</f>
        <v/>
      </c>
      <c r="L287" s="193" t="str" cm="1">
        <f t="array" ref="L287">IF(I287="No-Retrofit",F287,IFERROR(VLOOKUP(I287,Vstack!$A$2:$L$1000,{10,4},0),""))</f>
        <v/>
      </c>
      <c r="M287" s="193"/>
      <c r="N287" s="121"/>
      <c r="O287" s="193" t="str">
        <f t="shared" si="18"/>
        <v/>
      </c>
      <c r="P287" s="195" t="str">
        <f t="shared" si="19"/>
        <v/>
      </c>
      <c r="Q287" s="246"/>
      <c r="R287" s="229"/>
      <c r="S287" s="231"/>
      <c r="T287" s="229"/>
      <c r="U287" s="196">
        <v>286</v>
      </c>
    </row>
    <row r="288" spans="1:21" ht="15" customHeight="1">
      <c r="A288" s="190" t="str">
        <f t="shared" si="16"/>
        <v>287- -W</v>
      </c>
      <c r="B288" s="123"/>
      <c r="C288" s="125"/>
      <c r="D288" s="190" t="str" cm="1">
        <f t="array" ref="D288">IFERROR(VLOOKUP(C288,Old_Model_Registry!$B$2:$K$500,{3,10,8,9},0),"")</f>
        <v/>
      </c>
      <c r="E288" s="190"/>
      <c r="F288" s="190"/>
      <c r="G288" s="191"/>
      <c r="H288" s="192">
        <f t="shared" si="17"/>
        <v>0</v>
      </c>
      <c r="I288" s="121"/>
      <c r="J288" s="193" t="str" cm="1">
        <f t="array" ref="J288">IF(I288="No-Retrofit",F288,IFERROR(VLOOKUP(I288,Vstack!$A$2:$L$1000,{8},0),""))</f>
        <v/>
      </c>
      <c r="K288" s="224" t="str" cm="1">
        <f t="array" ref="K288">IF(I288="No-Retrofit",F288,IFERROR(VLOOKUP(I288,Vstack!$A$2:$L$1000,{9},0)*N288,""))</f>
        <v/>
      </c>
      <c r="L288" s="193" t="str" cm="1">
        <f t="array" ref="L288">IF(I288="No-Retrofit",F288,IFERROR(VLOOKUP(I288,Vstack!$A$2:$L$1000,{10,4},0),""))</f>
        <v/>
      </c>
      <c r="M288" s="193"/>
      <c r="N288" s="121"/>
      <c r="O288" s="193" t="str">
        <f t="shared" si="18"/>
        <v/>
      </c>
      <c r="P288" s="195" t="str">
        <f t="shared" si="19"/>
        <v/>
      </c>
      <c r="Q288" s="246"/>
      <c r="R288" s="229"/>
      <c r="S288" s="231"/>
      <c r="T288" s="229"/>
      <c r="U288" s="196">
        <v>287</v>
      </c>
    </row>
    <row r="289" spans="1:21" ht="15" customHeight="1">
      <c r="A289" s="190" t="str">
        <f t="shared" si="16"/>
        <v>288- -W</v>
      </c>
      <c r="B289" s="123"/>
      <c r="C289" s="125"/>
      <c r="D289" s="190" t="str" cm="1">
        <f t="array" ref="D289">IFERROR(VLOOKUP(C289,Old_Model_Registry!$B$2:$K$500,{3,10,8,9},0),"")</f>
        <v/>
      </c>
      <c r="E289" s="190"/>
      <c r="F289" s="190"/>
      <c r="G289" s="191"/>
      <c r="H289" s="192">
        <f t="shared" si="17"/>
        <v>0</v>
      </c>
      <c r="I289" s="121"/>
      <c r="J289" s="193" t="str" cm="1">
        <f t="array" ref="J289">IF(I289="No-Retrofit",F289,IFERROR(VLOOKUP(I289,Vstack!$A$2:$L$1000,{8},0),""))</f>
        <v/>
      </c>
      <c r="K289" s="224" t="str" cm="1">
        <f t="array" ref="K289">IF(I289="No-Retrofit",F289,IFERROR(VLOOKUP(I289,Vstack!$A$2:$L$1000,{9},0)*N289,""))</f>
        <v/>
      </c>
      <c r="L289" s="193" t="str" cm="1">
        <f t="array" ref="L289">IF(I289="No-Retrofit",F289,IFERROR(VLOOKUP(I289,Vstack!$A$2:$L$1000,{10,4},0),""))</f>
        <v/>
      </c>
      <c r="M289" s="193"/>
      <c r="N289" s="121"/>
      <c r="O289" s="193" t="str">
        <f t="shared" si="18"/>
        <v/>
      </c>
      <c r="P289" s="195" t="str">
        <f t="shared" si="19"/>
        <v/>
      </c>
      <c r="Q289" s="246"/>
      <c r="R289" s="229"/>
      <c r="S289" s="245"/>
      <c r="T289" s="229"/>
      <c r="U289" s="196">
        <v>288</v>
      </c>
    </row>
    <row r="290" spans="1:21" ht="15" customHeight="1">
      <c r="A290" s="190" t="str">
        <f t="shared" si="16"/>
        <v>289- -W</v>
      </c>
      <c r="B290" s="123"/>
      <c r="C290" s="125"/>
      <c r="D290" s="190" t="str" cm="1">
        <f t="array" ref="D290">IFERROR(VLOOKUP(C290,Old_Model_Registry!$B$2:$K$500,{3,10,8,9},0),"")</f>
        <v/>
      </c>
      <c r="E290" s="190"/>
      <c r="F290" s="190"/>
      <c r="G290" s="191"/>
      <c r="H290" s="192">
        <f t="shared" si="17"/>
        <v>0</v>
      </c>
      <c r="I290" s="121"/>
      <c r="J290" s="193" t="str" cm="1">
        <f t="array" ref="J290">IF(I290="No-Retrofit",F290,IFERROR(VLOOKUP(I290,Vstack!$A$2:$L$1000,{8},0),""))</f>
        <v/>
      </c>
      <c r="K290" s="224" t="str" cm="1">
        <f t="array" ref="K290">IF(I290="No-Retrofit",F290,IFERROR(VLOOKUP(I290,Vstack!$A$2:$L$1000,{9},0)*N290,""))</f>
        <v/>
      </c>
      <c r="L290" s="193" t="str" cm="1">
        <f t="array" ref="L290">IF(I290="No-Retrofit",F290,IFERROR(VLOOKUP(I290,Vstack!$A$2:$L$1000,{10,4},0),""))</f>
        <v/>
      </c>
      <c r="M290" s="193"/>
      <c r="N290" s="121"/>
      <c r="O290" s="193" t="str">
        <f t="shared" si="18"/>
        <v/>
      </c>
      <c r="P290" s="195" t="str">
        <f t="shared" si="19"/>
        <v/>
      </c>
      <c r="Q290" s="246"/>
      <c r="R290" s="229"/>
      <c r="S290" s="231"/>
      <c r="T290" s="229"/>
      <c r="U290" s="196">
        <v>289</v>
      </c>
    </row>
    <row r="291" spans="1:21" ht="15" customHeight="1">
      <c r="A291" s="190" t="str">
        <f t="shared" si="16"/>
        <v>290- -W</v>
      </c>
      <c r="B291" s="123"/>
      <c r="C291" s="125"/>
      <c r="D291" s="190" t="str" cm="1">
        <f t="array" ref="D291">IFERROR(VLOOKUP(C291,Old_Model_Registry!$B$2:$K$500,{3,10,8,9},0),"")</f>
        <v/>
      </c>
      <c r="E291" s="190"/>
      <c r="F291" s="190"/>
      <c r="G291" s="191"/>
      <c r="H291" s="192">
        <f t="shared" si="17"/>
        <v>0</v>
      </c>
      <c r="I291" s="121"/>
      <c r="J291" s="193" t="str" cm="1">
        <f t="array" ref="J291">IF(I291="No-Retrofit",F291,IFERROR(VLOOKUP(I291,Vstack!$A$2:$L$1000,{8},0),""))</f>
        <v/>
      </c>
      <c r="K291" s="224" t="str" cm="1">
        <f t="array" ref="K291">IF(I291="No-Retrofit",F291,IFERROR(VLOOKUP(I291,Vstack!$A$2:$L$1000,{9},0)*N291,""))</f>
        <v/>
      </c>
      <c r="L291" s="193" t="str" cm="1">
        <f t="array" ref="L291">IF(I291="No-Retrofit",F291,IFERROR(VLOOKUP(I291,Vstack!$A$2:$L$1000,{10,4},0),""))</f>
        <v/>
      </c>
      <c r="M291" s="193"/>
      <c r="N291" s="121"/>
      <c r="O291" s="193" t="str">
        <f t="shared" si="18"/>
        <v/>
      </c>
      <c r="P291" s="195" t="str">
        <f t="shared" si="19"/>
        <v/>
      </c>
      <c r="Q291" s="246"/>
      <c r="R291" s="229"/>
      <c r="S291" s="231"/>
      <c r="T291" s="229"/>
      <c r="U291" s="196">
        <v>290</v>
      </c>
    </row>
    <row r="292" spans="1:21" ht="15" customHeight="1">
      <c r="A292" s="190" t="str">
        <f t="shared" si="16"/>
        <v>291- -W</v>
      </c>
      <c r="B292" s="123"/>
      <c r="C292" s="125"/>
      <c r="D292" s="190" t="str" cm="1">
        <f t="array" ref="D292">IFERROR(VLOOKUP(C292,Old_Model_Registry!$B$2:$K$500,{3,10,8,9},0),"")</f>
        <v/>
      </c>
      <c r="E292" s="190"/>
      <c r="F292" s="190"/>
      <c r="G292" s="191"/>
      <c r="H292" s="192">
        <f t="shared" si="17"/>
        <v>0</v>
      </c>
      <c r="I292" s="121"/>
      <c r="J292" s="193" t="str" cm="1">
        <f t="array" ref="J292">IF(I292="No-Retrofit",F292,IFERROR(VLOOKUP(I292,Vstack!$A$2:$L$1000,{8},0),""))</f>
        <v/>
      </c>
      <c r="K292" s="224" t="str" cm="1">
        <f t="array" ref="K292">IF(I292="No-Retrofit",F292,IFERROR(VLOOKUP(I292,Vstack!$A$2:$L$1000,{9},0)*N292,""))</f>
        <v/>
      </c>
      <c r="L292" s="193" t="str" cm="1">
        <f t="array" ref="L292">IF(I292="No-Retrofit",F292,IFERROR(VLOOKUP(I292,Vstack!$A$2:$L$1000,{10,4},0),""))</f>
        <v/>
      </c>
      <c r="M292" s="193"/>
      <c r="N292" s="121"/>
      <c r="O292" s="193" t="str">
        <f t="shared" si="18"/>
        <v/>
      </c>
      <c r="P292" s="195" t="str">
        <f t="shared" si="19"/>
        <v/>
      </c>
      <c r="Q292" s="246"/>
      <c r="R292" s="229"/>
      <c r="S292" s="245"/>
      <c r="T292" s="229"/>
      <c r="U292" s="196">
        <v>291</v>
      </c>
    </row>
    <row r="293" spans="1:21" ht="15" customHeight="1">
      <c r="A293" s="190" t="str">
        <f t="shared" si="16"/>
        <v>292- -W</v>
      </c>
      <c r="B293" s="123"/>
      <c r="C293" s="125"/>
      <c r="D293" s="190" t="str" cm="1">
        <f t="array" ref="D293">IFERROR(VLOOKUP(C293,Old_Model_Registry!$B$2:$K$500,{3,10,8,9},0),"")</f>
        <v/>
      </c>
      <c r="E293" s="190"/>
      <c r="F293" s="190"/>
      <c r="G293" s="191"/>
      <c r="H293" s="192">
        <f t="shared" si="17"/>
        <v>0</v>
      </c>
      <c r="I293" s="121"/>
      <c r="J293" s="193" t="str" cm="1">
        <f t="array" ref="J293">IF(I293="No-Retrofit",F293,IFERROR(VLOOKUP(I293,Vstack!$A$2:$L$1000,{8},0),""))</f>
        <v/>
      </c>
      <c r="K293" s="224" t="str" cm="1">
        <f t="array" ref="K293">IF(I293="No-Retrofit",F293,IFERROR(VLOOKUP(I293,Vstack!$A$2:$L$1000,{9},0)*N293,""))</f>
        <v/>
      </c>
      <c r="L293" s="193" t="str" cm="1">
        <f t="array" ref="L293">IF(I293="No-Retrofit",F293,IFERROR(VLOOKUP(I293,Vstack!$A$2:$L$1000,{10,4},0),""))</f>
        <v/>
      </c>
      <c r="M293" s="193"/>
      <c r="N293" s="121"/>
      <c r="O293" s="193" t="str">
        <f t="shared" si="18"/>
        <v/>
      </c>
      <c r="P293" s="195" t="str">
        <f t="shared" si="19"/>
        <v/>
      </c>
      <c r="Q293" s="246"/>
      <c r="R293" s="229"/>
      <c r="S293" s="245"/>
      <c r="T293" s="229"/>
      <c r="U293" s="196">
        <v>292</v>
      </c>
    </row>
    <row r="294" spans="1:21" ht="15" customHeight="1">
      <c r="A294" s="190" t="str">
        <f t="shared" si="16"/>
        <v>293- -W</v>
      </c>
      <c r="B294" s="123"/>
      <c r="C294" s="125"/>
      <c r="D294" s="190" t="str" cm="1">
        <f t="array" ref="D294">IFERROR(VLOOKUP(C294,Old_Model_Registry!$B$2:$K$500,{3,10,8,9},0),"")</f>
        <v/>
      </c>
      <c r="E294" s="190"/>
      <c r="F294" s="190"/>
      <c r="G294" s="191"/>
      <c r="H294" s="192">
        <f t="shared" si="17"/>
        <v>0</v>
      </c>
      <c r="I294" s="121"/>
      <c r="J294" s="193" t="str" cm="1">
        <f t="array" ref="J294">IF(I294="No-Retrofit",F294,IFERROR(VLOOKUP(I294,Vstack!$A$2:$L$1000,{8},0),""))</f>
        <v/>
      </c>
      <c r="K294" s="224" t="str" cm="1">
        <f t="array" ref="K294">IF(I294="No-Retrofit",F294,IFERROR(VLOOKUP(I294,Vstack!$A$2:$L$1000,{9},0)*N294,""))</f>
        <v/>
      </c>
      <c r="L294" s="193" t="str" cm="1">
        <f t="array" ref="L294">IF(I294="No-Retrofit",F294,IFERROR(VLOOKUP(I294,Vstack!$A$2:$L$1000,{10,4},0),""))</f>
        <v/>
      </c>
      <c r="M294" s="193"/>
      <c r="N294" s="121"/>
      <c r="O294" s="193" t="str">
        <f t="shared" si="18"/>
        <v/>
      </c>
      <c r="P294" s="195" t="str">
        <f t="shared" si="19"/>
        <v/>
      </c>
      <c r="Q294" s="246"/>
      <c r="R294" s="229"/>
      <c r="S294" s="245"/>
      <c r="T294" s="229"/>
      <c r="U294" s="196">
        <v>293</v>
      </c>
    </row>
    <row r="295" spans="1:21" ht="15" customHeight="1">
      <c r="A295" s="190" t="str">
        <f t="shared" si="16"/>
        <v>294- -W</v>
      </c>
      <c r="B295" s="123"/>
      <c r="C295" s="125"/>
      <c r="D295" s="190" t="str" cm="1">
        <f t="array" ref="D295">IFERROR(VLOOKUP(C295,Old_Model_Registry!$B$2:$K$500,{3,10,8,9},0),"")</f>
        <v/>
      </c>
      <c r="E295" s="190"/>
      <c r="F295" s="190"/>
      <c r="G295" s="191"/>
      <c r="H295" s="192">
        <f t="shared" si="17"/>
        <v>0</v>
      </c>
      <c r="I295" s="121"/>
      <c r="J295" s="193" t="str" cm="1">
        <f t="array" ref="J295">IF(I295="No-Retrofit",F295,IFERROR(VLOOKUP(I295,Vstack!$A$2:$L$1000,{8},0),""))</f>
        <v/>
      </c>
      <c r="K295" s="224" t="str" cm="1">
        <f t="array" ref="K295">IF(I295="No-Retrofit",F295,IFERROR(VLOOKUP(I295,Vstack!$A$2:$L$1000,{9},0)*N295,""))</f>
        <v/>
      </c>
      <c r="L295" s="193" t="str" cm="1">
        <f t="array" ref="L295">IF(I295="No-Retrofit",F295,IFERROR(VLOOKUP(I295,Vstack!$A$2:$L$1000,{10,4},0),""))</f>
        <v/>
      </c>
      <c r="M295" s="193"/>
      <c r="N295" s="121"/>
      <c r="O295" s="193" t="str">
        <f t="shared" si="18"/>
        <v/>
      </c>
      <c r="P295" s="195" t="str">
        <f t="shared" si="19"/>
        <v/>
      </c>
      <c r="Q295" s="246"/>
      <c r="R295" s="229"/>
      <c r="S295" s="231"/>
      <c r="T295" s="229"/>
      <c r="U295" s="196">
        <v>294</v>
      </c>
    </row>
    <row r="296" spans="1:21" ht="15" customHeight="1">
      <c r="A296" s="190" t="str">
        <f t="shared" si="16"/>
        <v>295- -W</v>
      </c>
      <c r="B296" s="123"/>
      <c r="C296" s="125"/>
      <c r="D296" s="190" t="str" cm="1">
        <f t="array" ref="D296">IFERROR(VLOOKUP(C296,Old_Model_Registry!$B$2:$K$500,{3,10,8,9},0),"")</f>
        <v/>
      </c>
      <c r="E296" s="190"/>
      <c r="F296" s="190"/>
      <c r="G296" s="191"/>
      <c r="H296" s="192">
        <f t="shared" si="17"/>
        <v>0</v>
      </c>
      <c r="I296" s="121"/>
      <c r="J296" s="193" t="str" cm="1">
        <f t="array" ref="J296">IF(I296="No-Retrofit",F296,IFERROR(VLOOKUP(I296,Vstack!$A$2:$L$1000,{8},0),""))</f>
        <v/>
      </c>
      <c r="K296" s="224" t="str" cm="1">
        <f t="array" ref="K296">IF(I296="No-Retrofit",F296,IFERROR(VLOOKUP(I296,Vstack!$A$2:$L$1000,{9},0)*N296,""))</f>
        <v/>
      </c>
      <c r="L296" s="193" t="str" cm="1">
        <f t="array" ref="L296">IF(I296="No-Retrofit",F296,IFERROR(VLOOKUP(I296,Vstack!$A$2:$L$1000,{10,4},0),""))</f>
        <v/>
      </c>
      <c r="M296" s="193"/>
      <c r="N296" s="121"/>
      <c r="O296" s="193" t="str">
        <f t="shared" si="18"/>
        <v/>
      </c>
      <c r="P296" s="195" t="str">
        <f t="shared" si="19"/>
        <v/>
      </c>
      <c r="Q296" s="246"/>
      <c r="R296" s="229"/>
      <c r="S296" s="245"/>
      <c r="T296" s="229"/>
      <c r="U296" s="196">
        <v>295</v>
      </c>
    </row>
    <row r="297" spans="1:21" ht="15" customHeight="1">
      <c r="A297" s="190" t="str">
        <f t="shared" si="16"/>
        <v>296- -W</v>
      </c>
      <c r="B297" s="123"/>
      <c r="C297" s="125"/>
      <c r="D297" s="190" t="str" cm="1">
        <f t="array" ref="D297">IFERROR(VLOOKUP(C297,Old_Model_Registry!$B$2:$K$500,{3,10,8,9},0),"")</f>
        <v/>
      </c>
      <c r="E297" s="190"/>
      <c r="F297" s="190"/>
      <c r="G297" s="191"/>
      <c r="H297" s="192">
        <f t="shared" si="17"/>
        <v>0</v>
      </c>
      <c r="I297" s="121"/>
      <c r="J297" s="193" t="str" cm="1">
        <f t="array" ref="J297">IF(I297="No-Retrofit",F297,IFERROR(VLOOKUP(I297,Vstack!$A$2:$L$1000,{8},0),""))</f>
        <v/>
      </c>
      <c r="K297" s="224" t="str" cm="1">
        <f t="array" ref="K297">IF(I297="No-Retrofit",F297,IFERROR(VLOOKUP(I297,Vstack!$A$2:$L$1000,{9},0)*N297,""))</f>
        <v/>
      </c>
      <c r="L297" s="193" t="str" cm="1">
        <f t="array" ref="L297">IF(I297="No-Retrofit",F297,IFERROR(VLOOKUP(I297,Vstack!$A$2:$L$1000,{10,4},0),""))</f>
        <v/>
      </c>
      <c r="M297" s="193"/>
      <c r="N297" s="121"/>
      <c r="O297" s="193" t="str">
        <f t="shared" si="18"/>
        <v/>
      </c>
      <c r="P297" s="195" t="str">
        <f t="shared" si="19"/>
        <v/>
      </c>
      <c r="Q297" s="246"/>
      <c r="R297" s="229"/>
      <c r="S297" s="245"/>
      <c r="T297" s="229"/>
      <c r="U297" s="196">
        <v>296</v>
      </c>
    </row>
    <row r="298" spans="1:21" ht="15" customHeight="1">
      <c r="A298" s="190" t="str">
        <f t="shared" si="16"/>
        <v>297- -W</v>
      </c>
      <c r="B298" s="123"/>
      <c r="C298" s="125"/>
      <c r="D298" s="190" t="str" cm="1">
        <f t="array" ref="D298">IFERROR(VLOOKUP(C298,Old_Model_Registry!$B$2:$K$500,{3,10,8,9},0),"")</f>
        <v/>
      </c>
      <c r="E298" s="190"/>
      <c r="F298" s="190"/>
      <c r="G298" s="191"/>
      <c r="H298" s="192">
        <f t="shared" si="17"/>
        <v>0</v>
      </c>
      <c r="I298" s="121"/>
      <c r="J298" s="193" t="str" cm="1">
        <f t="array" ref="J298">IF(I298="No-Retrofit",F298,IFERROR(VLOOKUP(I298,Vstack!$A$2:$L$1000,{8},0),""))</f>
        <v/>
      </c>
      <c r="K298" s="224" t="str" cm="1">
        <f t="array" ref="K298">IF(I298="No-Retrofit",F298,IFERROR(VLOOKUP(I298,Vstack!$A$2:$L$1000,{9},0)*N298,""))</f>
        <v/>
      </c>
      <c r="L298" s="193" t="str" cm="1">
        <f t="array" ref="L298">IF(I298="No-Retrofit",F298,IFERROR(VLOOKUP(I298,Vstack!$A$2:$L$1000,{10,4},0),""))</f>
        <v/>
      </c>
      <c r="M298" s="193"/>
      <c r="N298" s="121"/>
      <c r="O298" s="193" t="str">
        <f t="shared" si="18"/>
        <v/>
      </c>
      <c r="P298" s="195" t="str">
        <f t="shared" si="19"/>
        <v/>
      </c>
      <c r="Q298" s="246"/>
      <c r="R298" s="229"/>
      <c r="S298" s="231"/>
      <c r="T298" s="229"/>
      <c r="U298" s="196">
        <v>297</v>
      </c>
    </row>
    <row r="299" spans="1:21" ht="15" customHeight="1">
      <c r="A299" s="190" t="str">
        <f t="shared" si="16"/>
        <v>298- -W</v>
      </c>
      <c r="B299" s="123"/>
      <c r="C299" s="125"/>
      <c r="D299" s="190" t="str" cm="1">
        <f t="array" ref="D299">IFERROR(VLOOKUP(C299,Old_Model_Registry!$B$2:$K$500,{3,10,8,9},0),"")</f>
        <v/>
      </c>
      <c r="E299" s="190"/>
      <c r="F299" s="190"/>
      <c r="G299" s="191"/>
      <c r="H299" s="192">
        <f t="shared" si="17"/>
        <v>0</v>
      </c>
      <c r="I299" s="121"/>
      <c r="J299" s="193" t="str" cm="1">
        <f t="array" ref="J299">IF(I299="No-Retrofit",F299,IFERROR(VLOOKUP(I299,Vstack!$A$2:$L$1000,{8},0),""))</f>
        <v/>
      </c>
      <c r="K299" s="224" t="str" cm="1">
        <f t="array" ref="K299">IF(I299="No-Retrofit",F299,IFERROR(VLOOKUP(I299,Vstack!$A$2:$L$1000,{9},0)*N299,""))</f>
        <v/>
      </c>
      <c r="L299" s="193" t="str" cm="1">
        <f t="array" ref="L299">IF(I299="No-Retrofit",F299,IFERROR(VLOOKUP(I299,Vstack!$A$2:$L$1000,{10,4},0),""))</f>
        <v/>
      </c>
      <c r="M299" s="193"/>
      <c r="N299" s="121"/>
      <c r="O299" s="193" t="str">
        <f t="shared" si="18"/>
        <v/>
      </c>
      <c r="P299" s="195" t="str">
        <f t="shared" si="19"/>
        <v/>
      </c>
      <c r="Q299" s="246"/>
      <c r="R299" s="229"/>
      <c r="S299" s="231"/>
      <c r="T299" s="229"/>
      <c r="U299" s="196">
        <v>298</v>
      </c>
    </row>
    <row r="300" spans="1:21" ht="15" customHeight="1">
      <c r="A300" s="190" t="str">
        <f t="shared" si="16"/>
        <v>299- -W</v>
      </c>
      <c r="B300" s="123"/>
      <c r="C300" s="125"/>
      <c r="D300" s="190" t="str" cm="1">
        <f t="array" ref="D300">IFERROR(VLOOKUP(C300,Old_Model_Registry!$B$2:$K$500,{3,10,8,9},0),"")</f>
        <v/>
      </c>
      <c r="E300" s="190"/>
      <c r="F300" s="190"/>
      <c r="G300" s="191"/>
      <c r="H300" s="192">
        <f t="shared" si="17"/>
        <v>0</v>
      </c>
      <c r="I300" s="121"/>
      <c r="J300" s="193" t="str" cm="1">
        <f t="array" ref="J300">IF(I300="No-Retrofit",F300,IFERROR(VLOOKUP(I300,Vstack!$A$2:$L$1000,{8},0),""))</f>
        <v/>
      </c>
      <c r="K300" s="224" t="str" cm="1">
        <f t="array" ref="K300">IF(I300="No-Retrofit",F300,IFERROR(VLOOKUP(I300,Vstack!$A$2:$L$1000,{9},0)*N300,""))</f>
        <v/>
      </c>
      <c r="L300" s="193" t="str" cm="1">
        <f t="array" ref="L300">IF(I300="No-Retrofit",F300,IFERROR(VLOOKUP(I300,Vstack!$A$2:$L$1000,{10,4},0),""))</f>
        <v/>
      </c>
      <c r="M300" s="193"/>
      <c r="N300" s="121"/>
      <c r="O300" s="193" t="str">
        <f t="shared" si="18"/>
        <v/>
      </c>
      <c r="P300" s="195" t="str">
        <f t="shared" si="19"/>
        <v/>
      </c>
      <c r="Q300" s="246"/>
      <c r="R300" s="229"/>
      <c r="S300" s="231"/>
      <c r="T300" s="229"/>
      <c r="U300" s="196">
        <v>299</v>
      </c>
    </row>
    <row r="301" spans="1:21" ht="15" customHeight="1">
      <c r="A301" s="190" t="str">
        <f t="shared" si="16"/>
        <v>300- -W</v>
      </c>
      <c r="B301" s="123"/>
      <c r="C301" s="125"/>
      <c r="D301" s="190" t="str" cm="1">
        <f t="array" ref="D301">IFERROR(VLOOKUP(C301,Old_Model_Registry!$B$2:$K$500,{3,10,8,9},0),"")</f>
        <v/>
      </c>
      <c r="E301" s="190"/>
      <c r="F301" s="190"/>
      <c r="G301" s="191"/>
      <c r="H301" s="192">
        <f t="shared" si="17"/>
        <v>0</v>
      </c>
      <c r="I301" s="121"/>
      <c r="J301" s="193" t="str" cm="1">
        <f t="array" ref="J301">IF(I301="No-Retrofit",F301,IFERROR(VLOOKUP(I301,Vstack!$A$2:$L$1000,{8},0),""))</f>
        <v/>
      </c>
      <c r="K301" s="224" t="str" cm="1">
        <f t="array" ref="K301">IF(I301="No-Retrofit",F301,IFERROR(VLOOKUP(I301,Vstack!$A$2:$L$1000,{9},0)*N301,""))</f>
        <v/>
      </c>
      <c r="L301" s="193" t="str" cm="1">
        <f t="array" ref="L301">IF(I301="No-Retrofit",F301,IFERROR(VLOOKUP(I301,Vstack!$A$2:$L$1000,{10,4},0),""))</f>
        <v/>
      </c>
      <c r="M301" s="193"/>
      <c r="N301" s="121"/>
      <c r="O301" s="193" t="str">
        <f t="shared" si="18"/>
        <v/>
      </c>
      <c r="P301" s="195" t="str">
        <f t="shared" si="19"/>
        <v/>
      </c>
      <c r="Q301" s="246"/>
      <c r="R301" s="229"/>
      <c r="S301" s="231"/>
      <c r="T301" s="229"/>
      <c r="U301" s="196">
        <v>300</v>
      </c>
    </row>
    <row r="302" spans="1:21" ht="15" customHeight="1">
      <c r="A302" s="190" t="str">
        <f t="shared" si="16"/>
        <v>301- -W</v>
      </c>
      <c r="B302" s="123"/>
      <c r="C302" s="125"/>
      <c r="D302" s="190" t="str" cm="1">
        <f t="array" ref="D302">IFERROR(VLOOKUP(C302,Old_Model_Registry!$B$2:$K$500,{3,10,8,9},0),"")</f>
        <v/>
      </c>
      <c r="E302" s="190"/>
      <c r="F302" s="190"/>
      <c r="G302" s="191"/>
      <c r="H302" s="192">
        <f t="shared" si="17"/>
        <v>0</v>
      </c>
      <c r="I302" s="121"/>
      <c r="J302" s="193" t="str" cm="1">
        <f t="array" ref="J302">IF(I302="No-Retrofit",F302,IFERROR(VLOOKUP(I302,Vstack!$A$2:$L$1000,{8},0),""))</f>
        <v/>
      </c>
      <c r="K302" s="224" t="str" cm="1">
        <f t="array" ref="K302">IF(I302="No-Retrofit",F302,IFERROR(VLOOKUP(I302,Vstack!$A$2:$L$1000,{9},0)*N302,""))</f>
        <v/>
      </c>
      <c r="L302" s="193" t="str" cm="1">
        <f t="array" ref="L302">IF(I302="No-Retrofit",F302,IFERROR(VLOOKUP(I302,Vstack!$A$2:$L$1000,{10,4},0),""))</f>
        <v/>
      </c>
      <c r="M302" s="193"/>
      <c r="N302" s="121"/>
      <c r="O302" s="193" t="str">
        <f t="shared" si="18"/>
        <v/>
      </c>
      <c r="P302" s="195" t="str">
        <f t="shared" si="19"/>
        <v/>
      </c>
      <c r="Q302" s="246"/>
      <c r="R302" s="229"/>
      <c r="S302" s="245"/>
      <c r="T302" s="229"/>
      <c r="U302" s="196">
        <v>301</v>
      </c>
    </row>
    <row r="303" spans="1:21" ht="15" customHeight="1">
      <c r="A303" s="190" t="str">
        <f t="shared" si="16"/>
        <v>302- -W</v>
      </c>
      <c r="B303" s="123"/>
      <c r="C303" s="125"/>
      <c r="D303" s="190" t="str" cm="1">
        <f t="array" ref="D303">IFERROR(VLOOKUP(C303,Old_Model_Registry!$B$2:$K$500,{3,10,8,9},0),"")</f>
        <v/>
      </c>
      <c r="E303" s="190"/>
      <c r="F303" s="190"/>
      <c r="G303" s="191"/>
      <c r="H303" s="192">
        <f t="shared" si="17"/>
        <v>0</v>
      </c>
      <c r="I303" s="121"/>
      <c r="J303" s="193" t="str" cm="1">
        <f t="array" ref="J303">IF(I303="No-Retrofit",F303,IFERROR(VLOOKUP(I303,Vstack!$A$2:$L$1000,{8},0),""))</f>
        <v/>
      </c>
      <c r="K303" s="224" t="str" cm="1">
        <f t="array" ref="K303">IF(I303="No-Retrofit",F303,IFERROR(VLOOKUP(I303,Vstack!$A$2:$L$1000,{9},0)*N303,""))</f>
        <v/>
      </c>
      <c r="L303" s="193" t="str" cm="1">
        <f t="array" ref="L303">IF(I303="No-Retrofit",F303,IFERROR(VLOOKUP(I303,Vstack!$A$2:$L$1000,{10,4},0),""))</f>
        <v/>
      </c>
      <c r="M303" s="193"/>
      <c r="N303" s="121"/>
      <c r="O303" s="193" t="str">
        <f t="shared" si="18"/>
        <v/>
      </c>
      <c r="P303" s="195" t="str">
        <f t="shared" si="19"/>
        <v/>
      </c>
      <c r="Q303" s="246"/>
      <c r="R303" s="229"/>
      <c r="S303" s="231"/>
      <c r="T303" s="229"/>
      <c r="U303" s="196">
        <v>302</v>
      </c>
    </row>
    <row r="304" spans="1:21" ht="15" customHeight="1">
      <c r="A304" s="190" t="str">
        <f t="shared" si="16"/>
        <v>303- -W</v>
      </c>
      <c r="B304" s="123"/>
      <c r="C304" s="125"/>
      <c r="D304" s="190" t="str" cm="1">
        <f t="array" ref="D304">IFERROR(VLOOKUP(C304,Old_Model_Registry!$B$2:$K$500,{3,10,8,9},0),"")</f>
        <v/>
      </c>
      <c r="E304" s="190"/>
      <c r="F304" s="190"/>
      <c r="G304" s="191"/>
      <c r="H304" s="192">
        <f t="shared" si="17"/>
        <v>0</v>
      </c>
      <c r="I304" s="121"/>
      <c r="J304" s="193" t="str" cm="1">
        <f t="array" ref="J304">IF(I304="No-Retrofit",F304,IFERROR(VLOOKUP(I304,Vstack!$A$2:$L$1000,{8},0),""))</f>
        <v/>
      </c>
      <c r="K304" s="224" t="str" cm="1">
        <f t="array" ref="K304">IF(I304="No-Retrofit",F304,IFERROR(VLOOKUP(I304,Vstack!$A$2:$L$1000,{9},0)*N304,""))</f>
        <v/>
      </c>
      <c r="L304" s="193" t="str" cm="1">
        <f t="array" ref="L304">IF(I304="No-Retrofit",F304,IFERROR(VLOOKUP(I304,Vstack!$A$2:$L$1000,{10,4},0),""))</f>
        <v/>
      </c>
      <c r="M304" s="193"/>
      <c r="N304" s="121"/>
      <c r="O304" s="193" t="str">
        <f t="shared" si="18"/>
        <v/>
      </c>
      <c r="P304" s="195" t="str">
        <f t="shared" si="19"/>
        <v/>
      </c>
      <c r="Q304" s="246"/>
      <c r="R304" s="229"/>
      <c r="S304" s="231"/>
      <c r="T304" s="229"/>
      <c r="U304" s="196">
        <v>303</v>
      </c>
    </row>
    <row r="305" spans="1:21" ht="15" customHeight="1">
      <c r="A305" s="190" t="str">
        <f t="shared" si="16"/>
        <v>304- -W</v>
      </c>
      <c r="B305" s="123"/>
      <c r="C305" s="125"/>
      <c r="D305" s="190" t="str" cm="1">
        <f t="array" ref="D305">IFERROR(VLOOKUP(C305,Old_Model_Registry!$B$2:$K$500,{3,10,8,9},0),"")</f>
        <v/>
      </c>
      <c r="E305" s="190"/>
      <c r="F305" s="190"/>
      <c r="G305" s="191"/>
      <c r="H305" s="192">
        <f t="shared" si="17"/>
        <v>0</v>
      </c>
      <c r="I305" s="121"/>
      <c r="J305" s="193" t="str" cm="1">
        <f t="array" ref="J305">IF(I305="No-Retrofit",F305,IFERROR(VLOOKUP(I305,Vstack!$A$2:$L$1000,{8},0),""))</f>
        <v/>
      </c>
      <c r="K305" s="224" t="str" cm="1">
        <f t="array" ref="K305">IF(I305="No-Retrofit",F305,IFERROR(VLOOKUP(I305,Vstack!$A$2:$L$1000,{9},0)*N305,""))</f>
        <v/>
      </c>
      <c r="L305" s="193" t="str" cm="1">
        <f t="array" ref="L305">IF(I305="No-Retrofit",F305,IFERROR(VLOOKUP(I305,Vstack!$A$2:$L$1000,{10,4},0),""))</f>
        <v/>
      </c>
      <c r="M305" s="193"/>
      <c r="N305" s="121"/>
      <c r="O305" s="193" t="str">
        <f t="shared" si="18"/>
        <v/>
      </c>
      <c r="P305" s="195" t="str">
        <f t="shared" si="19"/>
        <v/>
      </c>
      <c r="Q305" s="246"/>
      <c r="R305" s="229"/>
      <c r="S305" s="231"/>
      <c r="T305" s="229"/>
      <c r="U305" s="196">
        <v>304</v>
      </c>
    </row>
    <row r="306" spans="1:21" ht="15" customHeight="1">
      <c r="A306" s="190" t="str">
        <f t="shared" si="16"/>
        <v>305- -W</v>
      </c>
      <c r="B306" s="123"/>
      <c r="C306" s="125"/>
      <c r="D306" s="190" t="str" cm="1">
        <f t="array" ref="D306">IFERROR(VLOOKUP(C306,Old_Model_Registry!$B$2:$K$500,{3,10,8,9},0),"")</f>
        <v/>
      </c>
      <c r="E306" s="190"/>
      <c r="F306" s="190"/>
      <c r="G306" s="191"/>
      <c r="H306" s="192">
        <f t="shared" si="17"/>
        <v>0</v>
      </c>
      <c r="I306" s="121"/>
      <c r="J306" s="193" t="str" cm="1">
        <f t="array" ref="J306">IF(I306="No-Retrofit",F306,IFERROR(VLOOKUP(I306,Vstack!$A$2:$L$1000,{8},0),""))</f>
        <v/>
      </c>
      <c r="K306" s="224" t="str" cm="1">
        <f t="array" ref="K306">IF(I306="No-Retrofit",F306,IFERROR(VLOOKUP(I306,Vstack!$A$2:$L$1000,{9},0)*N306,""))</f>
        <v/>
      </c>
      <c r="L306" s="193" t="str" cm="1">
        <f t="array" ref="L306">IF(I306="No-Retrofit",F306,IFERROR(VLOOKUP(I306,Vstack!$A$2:$L$1000,{10,4},0),""))</f>
        <v/>
      </c>
      <c r="M306" s="193"/>
      <c r="N306" s="121"/>
      <c r="O306" s="193" t="str">
        <f t="shared" si="18"/>
        <v/>
      </c>
      <c r="P306" s="195" t="str">
        <f t="shared" si="19"/>
        <v/>
      </c>
      <c r="Q306" s="246"/>
      <c r="R306" s="229"/>
      <c r="S306" s="231"/>
      <c r="T306" s="229"/>
      <c r="U306" s="196">
        <v>305</v>
      </c>
    </row>
    <row r="307" spans="1:21" ht="15" customHeight="1">
      <c r="A307" s="190" t="str">
        <f t="shared" si="16"/>
        <v>306- -W</v>
      </c>
      <c r="B307" s="123"/>
      <c r="C307" s="125"/>
      <c r="D307" s="190" t="str" cm="1">
        <f t="array" ref="D307">IFERROR(VLOOKUP(C307,Old_Model_Registry!$B$2:$K$500,{3,10,8,9},0),"")</f>
        <v/>
      </c>
      <c r="E307" s="190"/>
      <c r="F307" s="190"/>
      <c r="G307" s="191"/>
      <c r="H307" s="192">
        <f t="shared" si="17"/>
        <v>0</v>
      </c>
      <c r="I307" s="121"/>
      <c r="J307" s="193" t="str" cm="1">
        <f t="array" ref="J307">IF(I307="No-Retrofit",F307,IFERROR(VLOOKUP(I307,Vstack!$A$2:$L$1000,{8},0),""))</f>
        <v/>
      </c>
      <c r="K307" s="224" t="str" cm="1">
        <f t="array" ref="K307">IF(I307="No-Retrofit",F307,IFERROR(VLOOKUP(I307,Vstack!$A$2:$L$1000,{9},0)*N307,""))</f>
        <v/>
      </c>
      <c r="L307" s="193" t="str" cm="1">
        <f t="array" ref="L307">IF(I307="No-Retrofit",F307,IFERROR(VLOOKUP(I307,Vstack!$A$2:$L$1000,{10,4},0),""))</f>
        <v/>
      </c>
      <c r="M307" s="193"/>
      <c r="N307" s="121"/>
      <c r="O307" s="193" t="str">
        <f t="shared" si="18"/>
        <v/>
      </c>
      <c r="P307" s="195" t="str">
        <f t="shared" si="19"/>
        <v/>
      </c>
      <c r="Q307" s="246"/>
      <c r="R307" s="229"/>
      <c r="S307" s="231"/>
      <c r="T307" s="229"/>
      <c r="U307" s="196">
        <v>306</v>
      </c>
    </row>
    <row r="308" spans="1:21" ht="15" customHeight="1">
      <c r="A308" s="190" t="str">
        <f t="shared" si="16"/>
        <v>307- -W</v>
      </c>
      <c r="B308" s="123"/>
      <c r="C308" s="125"/>
      <c r="D308" s="190" t="str" cm="1">
        <f t="array" ref="D308">IFERROR(VLOOKUP(C308,Old_Model_Registry!$B$2:$K$500,{3,10,8,9},0),"")</f>
        <v/>
      </c>
      <c r="E308" s="190"/>
      <c r="F308" s="190"/>
      <c r="G308" s="191"/>
      <c r="H308" s="192">
        <f t="shared" si="17"/>
        <v>0</v>
      </c>
      <c r="I308" s="121"/>
      <c r="J308" s="193" t="str" cm="1">
        <f t="array" ref="J308">IF(I308="No-Retrofit",F308,IFERROR(VLOOKUP(I308,Vstack!$A$2:$L$1000,{8},0),""))</f>
        <v/>
      </c>
      <c r="K308" s="224" t="str" cm="1">
        <f t="array" ref="K308">IF(I308="No-Retrofit",F308,IFERROR(VLOOKUP(I308,Vstack!$A$2:$L$1000,{9},0)*N308,""))</f>
        <v/>
      </c>
      <c r="L308" s="193" t="str" cm="1">
        <f t="array" ref="L308">IF(I308="No-Retrofit",F308,IFERROR(VLOOKUP(I308,Vstack!$A$2:$L$1000,{10,4},0),""))</f>
        <v/>
      </c>
      <c r="M308" s="193"/>
      <c r="N308" s="121"/>
      <c r="O308" s="193" t="str">
        <f t="shared" si="18"/>
        <v/>
      </c>
      <c r="P308" s="195" t="str">
        <f t="shared" si="19"/>
        <v/>
      </c>
      <c r="Q308" s="246"/>
      <c r="R308" s="229"/>
      <c r="S308" s="245"/>
      <c r="T308" s="229"/>
      <c r="U308" s="196">
        <v>307</v>
      </c>
    </row>
    <row r="309" spans="1:21" ht="15" customHeight="1">
      <c r="A309" s="190" t="str">
        <f t="shared" si="16"/>
        <v>308- -W</v>
      </c>
      <c r="B309" s="123"/>
      <c r="C309" s="125"/>
      <c r="D309" s="190" t="str" cm="1">
        <f t="array" ref="D309">IFERROR(VLOOKUP(C309,Old_Model_Registry!$B$2:$K$500,{3,10,8,9},0),"")</f>
        <v/>
      </c>
      <c r="E309" s="190"/>
      <c r="F309" s="190"/>
      <c r="G309" s="191"/>
      <c r="H309" s="192">
        <f t="shared" si="17"/>
        <v>0</v>
      </c>
      <c r="I309" s="121"/>
      <c r="J309" s="193" t="str" cm="1">
        <f t="array" ref="J309">IF(I309="No-Retrofit",F309,IFERROR(VLOOKUP(I309,Vstack!$A$2:$L$1000,{8},0),""))</f>
        <v/>
      </c>
      <c r="K309" s="224" t="str" cm="1">
        <f t="array" ref="K309">IF(I309="No-Retrofit",F309,IFERROR(VLOOKUP(I309,Vstack!$A$2:$L$1000,{9},0)*N309,""))</f>
        <v/>
      </c>
      <c r="L309" s="193" t="str" cm="1">
        <f t="array" ref="L309">IF(I309="No-Retrofit",F309,IFERROR(VLOOKUP(I309,Vstack!$A$2:$L$1000,{10,4},0),""))</f>
        <v/>
      </c>
      <c r="M309" s="193"/>
      <c r="N309" s="121"/>
      <c r="O309" s="193" t="str">
        <f t="shared" si="18"/>
        <v/>
      </c>
      <c r="P309" s="195" t="str">
        <f t="shared" si="19"/>
        <v/>
      </c>
      <c r="Q309" s="246"/>
      <c r="R309" s="229"/>
      <c r="S309" s="245"/>
      <c r="T309" s="229"/>
      <c r="U309" s="196">
        <v>308</v>
      </c>
    </row>
    <row r="310" spans="1:21" ht="15" customHeight="1">
      <c r="A310" s="190" t="str">
        <f t="shared" si="16"/>
        <v>309- -W</v>
      </c>
      <c r="B310" s="123"/>
      <c r="C310" s="125"/>
      <c r="D310" s="190" t="str" cm="1">
        <f t="array" ref="D310">IFERROR(VLOOKUP(C310,Old_Model_Registry!$B$2:$K$500,{3,10,8,9},0),"")</f>
        <v/>
      </c>
      <c r="E310" s="190"/>
      <c r="F310" s="190"/>
      <c r="G310" s="191"/>
      <c r="H310" s="192">
        <f t="shared" si="17"/>
        <v>0</v>
      </c>
      <c r="I310" s="121"/>
      <c r="J310" s="193" t="str" cm="1">
        <f t="array" ref="J310">IF(I310="No-Retrofit",F310,IFERROR(VLOOKUP(I310,Vstack!$A$2:$L$1000,{8},0),""))</f>
        <v/>
      </c>
      <c r="K310" s="224" t="str" cm="1">
        <f t="array" ref="K310">IF(I310="No-Retrofit",F310,IFERROR(VLOOKUP(I310,Vstack!$A$2:$L$1000,{9},0)*N310,""))</f>
        <v/>
      </c>
      <c r="L310" s="193" t="str" cm="1">
        <f t="array" ref="L310">IF(I310="No-Retrofit",F310,IFERROR(VLOOKUP(I310,Vstack!$A$2:$L$1000,{10,4},0),""))</f>
        <v/>
      </c>
      <c r="M310" s="193"/>
      <c r="N310" s="121"/>
      <c r="O310" s="193" t="str">
        <f t="shared" si="18"/>
        <v/>
      </c>
      <c r="P310" s="195" t="str">
        <f t="shared" si="19"/>
        <v/>
      </c>
      <c r="Q310" s="246"/>
      <c r="R310" s="229"/>
      <c r="S310" s="231"/>
      <c r="T310" s="229"/>
      <c r="U310" s="196">
        <v>309</v>
      </c>
    </row>
    <row r="311" spans="1:21" ht="15" customHeight="1">
      <c r="A311" s="190" t="str">
        <f t="shared" si="16"/>
        <v>310- -W</v>
      </c>
      <c r="B311" s="123"/>
      <c r="C311" s="125"/>
      <c r="D311" s="190" t="str" cm="1">
        <f t="array" ref="D311">IFERROR(VLOOKUP(C311,Old_Model_Registry!$B$2:$K$500,{3,10,8,9},0),"")</f>
        <v/>
      </c>
      <c r="E311" s="190"/>
      <c r="F311" s="190"/>
      <c r="G311" s="191"/>
      <c r="H311" s="192">
        <f t="shared" si="17"/>
        <v>0</v>
      </c>
      <c r="I311" s="121"/>
      <c r="J311" s="193" t="str" cm="1">
        <f t="array" ref="J311">IF(I311="No-Retrofit",F311,IFERROR(VLOOKUP(I311,Vstack!$A$2:$L$1000,{8},0),""))</f>
        <v/>
      </c>
      <c r="K311" s="224" t="str" cm="1">
        <f t="array" ref="K311">IF(I311="No-Retrofit",F311,IFERROR(VLOOKUP(I311,Vstack!$A$2:$L$1000,{9},0)*N311,""))</f>
        <v/>
      </c>
      <c r="L311" s="193" t="str" cm="1">
        <f t="array" ref="L311">IF(I311="No-Retrofit",F311,IFERROR(VLOOKUP(I311,Vstack!$A$2:$L$1000,{10,4},0),""))</f>
        <v/>
      </c>
      <c r="M311" s="193"/>
      <c r="N311" s="121"/>
      <c r="O311" s="193" t="str">
        <f t="shared" si="18"/>
        <v/>
      </c>
      <c r="P311" s="195" t="str">
        <f t="shared" si="19"/>
        <v/>
      </c>
      <c r="Q311" s="246"/>
      <c r="R311" s="229"/>
      <c r="S311" s="245"/>
      <c r="T311" s="229"/>
      <c r="U311" s="196">
        <v>310</v>
      </c>
    </row>
    <row r="312" spans="1:21" ht="15" customHeight="1">
      <c r="A312" s="190" t="str">
        <f t="shared" si="16"/>
        <v>311- -W</v>
      </c>
      <c r="B312" s="123"/>
      <c r="C312" s="125"/>
      <c r="D312" s="190" t="str" cm="1">
        <f t="array" ref="D312">IFERROR(VLOOKUP(C312,Old_Model_Registry!$B$2:$K$500,{3,10,8,9},0),"")</f>
        <v/>
      </c>
      <c r="E312" s="190"/>
      <c r="F312" s="190"/>
      <c r="G312" s="191"/>
      <c r="H312" s="192">
        <f t="shared" si="17"/>
        <v>0</v>
      </c>
      <c r="I312" s="121"/>
      <c r="J312" s="193" t="str" cm="1">
        <f t="array" ref="J312">IF(I312="No-Retrofit",F312,IFERROR(VLOOKUP(I312,Vstack!$A$2:$L$1000,{8},0),""))</f>
        <v/>
      </c>
      <c r="K312" s="224" t="str" cm="1">
        <f t="array" ref="K312">IF(I312="No-Retrofit",F312,IFERROR(VLOOKUP(I312,Vstack!$A$2:$L$1000,{9},0)*N312,""))</f>
        <v/>
      </c>
      <c r="L312" s="193" t="str" cm="1">
        <f t="array" ref="L312">IF(I312="No-Retrofit",F312,IFERROR(VLOOKUP(I312,Vstack!$A$2:$L$1000,{10,4},0),""))</f>
        <v/>
      </c>
      <c r="M312" s="193"/>
      <c r="N312" s="121"/>
      <c r="O312" s="193" t="str">
        <f t="shared" si="18"/>
        <v/>
      </c>
      <c r="P312" s="195" t="str">
        <f t="shared" si="19"/>
        <v/>
      </c>
      <c r="Q312" s="246"/>
      <c r="R312" s="229"/>
      <c r="S312" s="231"/>
      <c r="T312" s="229"/>
      <c r="U312" s="196">
        <v>311</v>
      </c>
    </row>
    <row r="313" spans="1:21" ht="15" customHeight="1">
      <c r="A313" s="190" t="str">
        <f t="shared" si="16"/>
        <v>312- -W</v>
      </c>
      <c r="B313" s="123"/>
      <c r="C313" s="125"/>
      <c r="D313" s="190" t="str" cm="1">
        <f t="array" ref="D313">IFERROR(VLOOKUP(C313,Old_Model_Registry!$B$2:$K$500,{3,10,8,9},0),"")</f>
        <v/>
      </c>
      <c r="E313" s="190"/>
      <c r="F313" s="190"/>
      <c r="G313" s="191"/>
      <c r="H313" s="192">
        <f t="shared" si="17"/>
        <v>0</v>
      </c>
      <c r="I313" s="121"/>
      <c r="J313" s="193" t="str" cm="1">
        <f t="array" ref="J313">IF(I313="No-Retrofit",F313,IFERROR(VLOOKUP(I313,Vstack!$A$2:$L$1000,{8},0),""))</f>
        <v/>
      </c>
      <c r="K313" s="224" t="str" cm="1">
        <f t="array" ref="K313">IF(I313="No-Retrofit",F313,IFERROR(VLOOKUP(I313,Vstack!$A$2:$L$1000,{9},0)*N313,""))</f>
        <v/>
      </c>
      <c r="L313" s="193" t="str" cm="1">
        <f t="array" ref="L313">IF(I313="No-Retrofit",F313,IFERROR(VLOOKUP(I313,Vstack!$A$2:$L$1000,{10,4},0),""))</f>
        <v/>
      </c>
      <c r="M313" s="193"/>
      <c r="N313" s="121"/>
      <c r="O313" s="193" t="str">
        <f t="shared" si="18"/>
        <v/>
      </c>
      <c r="P313" s="195" t="str">
        <f t="shared" si="19"/>
        <v/>
      </c>
      <c r="Q313" s="246"/>
      <c r="R313" s="229"/>
      <c r="S313" s="245"/>
      <c r="T313" s="229"/>
      <c r="U313" s="196">
        <v>312</v>
      </c>
    </row>
    <row r="314" spans="1:21" ht="15" customHeight="1">
      <c r="A314" s="190" t="str">
        <f t="shared" si="16"/>
        <v>313- -W</v>
      </c>
      <c r="B314" s="123"/>
      <c r="C314" s="125"/>
      <c r="D314" s="190" t="str" cm="1">
        <f t="array" ref="D314">IFERROR(VLOOKUP(C314,Old_Model_Registry!$B$2:$K$500,{3,10,8,9},0),"")</f>
        <v/>
      </c>
      <c r="E314" s="190"/>
      <c r="F314" s="190"/>
      <c r="G314" s="191"/>
      <c r="H314" s="192">
        <f t="shared" si="17"/>
        <v>0</v>
      </c>
      <c r="I314" s="121"/>
      <c r="J314" s="193" t="str" cm="1">
        <f t="array" ref="J314">IF(I314="No-Retrofit",F314,IFERROR(VLOOKUP(I314,Vstack!$A$2:$L$1000,{8},0),""))</f>
        <v/>
      </c>
      <c r="K314" s="224" t="str" cm="1">
        <f t="array" ref="K314">IF(I314="No-Retrofit",F314,IFERROR(VLOOKUP(I314,Vstack!$A$2:$L$1000,{9},0)*N314,""))</f>
        <v/>
      </c>
      <c r="L314" s="193" t="str" cm="1">
        <f t="array" ref="L314">IF(I314="No-Retrofit",F314,IFERROR(VLOOKUP(I314,Vstack!$A$2:$L$1000,{10,4},0),""))</f>
        <v/>
      </c>
      <c r="M314" s="193"/>
      <c r="N314" s="121"/>
      <c r="O314" s="193" t="str">
        <f t="shared" si="18"/>
        <v/>
      </c>
      <c r="P314" s="195" t="str">
        <f t="shared" si="19"/>
        <v/>
      </c>
      <c r="Q314" s="246"/>
      <c r="R314" s="229"/>
      <c r="S314" s="245"/>
      <c r="T314" s="229"/>
      <c r="U314" s="196">
        <v>313</v>
      </c>
    </row>
    <row r="315" spans="1:21" ht="15" customHeight="1">
      <c r="A315" s="190" t="str">
        <f t="shared" si="16"/>
        <v>314- -W</v>
      </c>
      <c r="B315" s="123"/>
      <c r="C315" s="125"/>
      <c r="D315" s="190" t="str" cm="1">
        <f t="array" ref="D315">IFERROR(VLOOKUP(C315,Old_Model_Registry!$B$2:$K$500,{3,10,8,9},0),"")</f>
        <v/>
      </c>
      <c r="E315" s="190"/>
      <c r="F315" s="190"/>
      <c r="G315" s="191"/>
      <c r="H315" s="192">
        <f t="shared" si="17"/>
        <v>0</v>
      </c>
      <c r="I315" s="121"/>
      <c r="J315" s="193" t="str" cm="1">
        <f t="array" ref="J315">IF(I315="No-Retrofit",F315,IFERROR(VLOOKUP(I315,Vstack!$A$2:$L$1000,{8},0),""))</f>
        <v/>
      </c>
      <c r="K315" s="224" t="str" cm="1">
        <f t="array" ref="K315">IF(I315="No-Retrofit",F315,IFERROR(VLOOKUP(I315,Vstack!$A$2:$L$1000,{9},0)*N315,""))</f>
        <v/>
      </c>
      <c r="L315" s="193" t="str" cm="1">
        <f t="array" ref="L315">IF(I315="No-Retrofit",F315,IFERROR(VLOOKUP(I315,Vstack!$A$2:$L$1000,{10,4},0),""))</f>
        <v/>
      </c>
      <c r="M315" s="193"/>
      <c r="N315" s="121"/>
      <c r="O315" s="193" t="str">
        <f t="shared" si="18"/>
        <v/>
      </c>
      <c r="P315" s="195" t="str">
        <f t="shared" si="19"/>
        <v/>
      </c>
      <c r="Q315" s="246"/>
      <c r="R315" s="229"/>
      <c r="S315" s="245"/>
      <c r="T315" s="229"/>
      <c r="U315" s="196">
        <v>314</v>
      </c>
    </row>
    <row r="316" spans="1:21" ht="15" customHeight="1">
      <c r="A316" s="190" t="str">
        <f t="shared" si="16"/>
        <v>315- -W</v>
      </c>
      <c r="B316" s="123"/>
      <c r="C316" s="125"/>
      <c r="D316" s="190" t="str" cm="1">
        <f t="array" ref="D316">IFERROR(VLOOKUP(C316,Old_Model_Registry!$B$2:$K$500,{3,10,8,9},0),"")</f>
        <v/>
      </c>
      <c r="E316" s="190"/>
      <c r="F316" s="190"/>
      <c r="G316" s="191"/>
      <c r="H316" s="192">
        <f t="shared" si="17"/>
        <v>0</v>
      </c>
      <c r="I316" s="121"/>
      <c r="J316" s="193" t="str" cm="1">
        <f t="array" ref="J316">IF(I316="No-Retrofit",F316,IFERROR(VLOOKUP(I316,Vstack!$A$2:$L$1000,{8},0),""))</f>
        <v/>
      </c>
      <c r="K316" s="224" t="str" cm="1">
        <f t="array" ref="K316">IF(I316="No-Retrofit",F316,IFERROR(VLOOKUP(I316,Vstack!$A$2:$L$1000,{9},0)*N316,""))</f>
        <v/>
      </c>
      <c r="L316" s="193" t="str" cm="1">
        <f t="array" ref="L316">IF(I316="No-Retrofit",F316,IFERROR(VLOOKUP(I316,Vstack!$A$2:$L$1000,{10,4},0),""))</f>
        <v/>
      </c>
      <c r="M316" s="193"/>
      <c r="N316" s="121"/>
      <c r="O316" s="193" t="str">
        <f t="shared" si="18"/>
        <v/>
      </c>
      <c r="P316" s="195" t="str">
        <f t="shared" si="19"/>
        <v/>
      </c>
      <c r="Q316" s="246"/>
      <c r="R316" s="229"/>
      <c r="S316" s="245"/>
      <c r="T316" s="229"/>
      <c r="U316" s="196">
        <v>315</v>
      </c>
    </row>
    <row r="317" spans="1:21" ht="15" customHeight="1">
      <c r="A317" s="190" t="str">
        <f t="shared" si="16"/>
        <v>316- -W</v>
      </c>
      <c r="B317" s="123"/>
      <c r="C317" s="125"/>
      <c r="D317" s="190" t="str" cm="1">
        <f t="array" ref="D317">IFERROR(VLOOKUP(C317,Old_Model_Registry!$B$2:$K$500,{3,10,8,9},0),"")</f>
        <v/>
      </c>
      <c r="E317" s="190"/>
      <c r="F317" s="190"/>
      <c r="G317" s="191"/>
      <c r="H317" s="192">
        <f t="shared" si="17"/>
        <v>0</v>
      </c>
      <c r="I317" s="121"/>
      <c r="J317" s="193" t="str" cm="1">
        <f t="array" ref="J317">IF(I317="No-Retrofit",F317,IFERROR(VLOOKUP(I317,Vstack!$A$2:$L$1000,{8},0),""))</f>
        <v/>
      </c>
      <c r="K317" s="224" t="str" cm="1">
        <f t="array" ref="K317">IF(I317="No-Retrofit",F317,IFERROR(VLOOKUP(I317,Vstack!$A$2:$L$1000,{9},0)*N317,""))</f>
        <v/>
      </c>
      <c r="L317" s="193" t="str" cm="1">
        <f t="array" ref="L317">IF(I317="No-Retrofit",F317,IFERROR(VLOOKUP(I317,Vstack!$A$2:$L$1000,{10,4},0),""))</f>
        <v/>
      </c>
      <c r="M317" s="193"/>
      <c r="N317" s="121"/>
      <c r="O317" s="193" t="str">
        <f t="shared" si="18"/>
        <v/>
      </c>
      <c r="P317" s="195" t="str">
        <f t="shared" si="19"/>
        <v/>
      </c>
      <c r="Q317" s="246"/>
      <c r="R317" s="229"/>
      <c r="S317" s="231"/>
      <c r="T317" s="229"/>
      <c r="U317" s="196">
        <v>316</v>
      </c>
    </row>
    <row r="318" spans="1:21" ht="15" customHeight="1">
      <c r="A318" s="190" t="str">
        <f t="shared" si="16"/>
        <v>317- -W</v>
      </c>
      <c r="B318" s="123"/>
      <c r="C318" s="125"/>
      <c r="D318" s="190" t="str" cm="1">
        <f t="array" ref="D318">IFERROR(VLOOKUP(C318,Old_Model_Registry!$B$2:$K$500,{3,10,8,9},0),"")</f>
        <v/>
      </c>
      <c r="E318" s="190"/>
      <c r="F318" s="190"/>
      <c r="G318" s="191"/>
      <c r="H318" s="192">
        <f t="shared" si="17"/>
        <v>0</v>
      </c>
      <c r="I318" s="121"/>
      <c r="J318" s="193" t="str" cm="1">
        <f t="array" ref="J318">IF(I318="No-Retrofit",F318,IFERROR(VLOOKUP(I318,Vstack!$A$2:$L$1000,{8},0),""))</f>
        <v/>
      </c>
      <c r="K318" s="224" t="str" cm="1">
        <f t="array" ref="K318">IF(I318="No-Retrofit",F318,IFERROR(VLOOKUP(I318,Vstack!$A$2:$L$1000,{9},0)*N318,""))</f>
        <v/>
      </c>
      <c r="L318" s="193" t="str" cm="1">
        <f t="array" ref="L318">IF(I318="No-Retrofit",F318,IFERROR(VLOOKUP(I318,Vstack!$A$2:$L$1000,{10,4},0),""))</f>
        <v/>
      </c>
      <c r="M318" s="193"/>
      <c r="N318" s="121"/>
      <c r="O318" s="193" t="str">
        <f t="shared" si="18"/>
        <v/>
      </c>
      <c r="P318" s="195" t="str">
        <f t="shared" si="19"/>
        <v/>
      </c>
      <c r="Q318" s="246"/>
      <c r="R318" s="229"/>
      <c r="S318" s="231"/>
      <c r="T318" s="229"/>
      <c r="U318" s="196">
        <v>317</v>
      </c>
    </row>
    <row r="319" spans="1:21" ht="15" customHeight="1">
      <c r="A319" s="190" t="str">
        <f t="shared" si="16"/>
        <v>318- -W</v>
      </c>
      <c r="B319" s="123"/>
      <c r="C319" s="125"/>
      <c r="D319" s="190" t="str" cm="1">
        <f t="array" ref="D319">IFERROR(VLOOKUP(C319,Old_Model_Registry!$B$2:$K$500,{3,10,8,9},0),"")</f>
        <v/>
      </c>
      <c r="E319" s="190"/>
      <c r="F319" s="190"/>
      <c r="G319" s="191"/>
      <c r="H319" s="192">
        <f t="shared" si="17"/>
        <v>0</v>
      </c>
      <c r="I319" s="121"/>
      <c r="J319" s="193" t="str" cm="1">
        <f t="array" ref="J319">IF(I319="No-Retrofit",F319,IFERROR(VLOOKUP(I319,Vstack!$A$2:$L$1000,{8},0),""))</f>
        <v/>
      </c>
      <c r="K319" s="224" t="str" cm="1">
        <f t="array" ref="K319">IF(I319="No-Retrofit",F319,IFERROR(VLOOKUP(I319,Vstack!$A$2:$L$1000,{9},0)*N319,""))</f>
        <v/>
      </c>
      <c r="L319" s="193" t="str" cm="1">
        <f t="array" ref="L319">IF(I319="No-Retrofit",F319,IFERROR(VLOOKUP(I319,Vstack!$A$2:$L$1000,{10,4},0),""))</f>
        <v/>
      </c>
      <c r="M319" s="193"/>
      <c r="N319" s="121"/>
      <c r="O319" s="193" t="str">
        <f t="shared" si="18"/>
        <v/>
      </c>
      <c r="P319" s="195" t="str">
        <f t="shared" si="19"/>
        <v/>
      </c>
      <c r="Q319" s="246"/>
      <c r="R319" s="229"/>
      <c r="S319" s="245"/>
      <c r="T319" s="229"/>
      <c r="U319" s="196">
        <v>318</v>
      </c>
    </row>
    <row r="320" spans="1:21" ht="15" customHeight="1">
      <c r="A320" s="190" t="str">
        <f t="shared" si="16"/>
        <v>319- -W</v>
      </c>
      <c r="B320" s="123"/>
      <c r="C320" s="125"/>
      <c r="D320" s="190" t="str" cm="1">
        <f t="array" ref="D320">IFERROR(VLOOKUP(C320,Old_Model_Registry!$B$2:$K$500,{3,10,8,9},0),"")</f>
        <v/>
      </c>
      <c r="E320" s="190"/>
      <c r="F320" s="190"/>
      <c r="G320" s="191"/>
      <c r="H320" s="192">
        <f t="shared" si="17"/>
        <v>0</v>
      </c>
      <c r="I320" s="121"/>
      <c r="J320" s="193" t="str" cm="1">
        <f t="array" ref="J320">IF(I320="No-Retrofit",F320,IFERROR(VLOOKUP(I320,Vstack!$A$2:$L$1000,{8},0),""))</f>
        <v/>
      </c>
      <c r="K320" s="224" t="str" cm="1">
        <f t="array" ref="K320">IF(I320="No-Retrofit",F320,IFERROR(VLOOKUP(I320,Vstack!$A$2:$L$1000,{9},0)*N320,""))</f>
        <v/>
      </c>
      <c r="L320" s="193" t="str" cm="1">
        <f t="array" ref="L320">IF(I320="No-Retrofit",F320,IFERROR(VLOOKUP(I320,Vstack!$A$2:$L$1000,{10,4},0),""))</f>
        <v/>
      </c>
      <c r="M320" s="193"/>
      <c r="N320" s="121"/>
      <c r="O320" s="193" t="str">
        <f t="shared" si="18"/>
        <v/>
      </c>
      <c r="P320" s="195" t="str">
        <f t="shared" si="19"/>
        <v/>
      </c>
      <c r="Q320" s="246"/>
      <c r="R320" s="229"/>
      <c r="S320" s="245"/>
      <c r="T320" s="229"/>
      <c r="U320" s="196">
        <v>319</v>
      </c>
    </row>
    <row r="321" spans="1:21" ht="15" customHeight="1">
      <c r="A321" s="190" t="str">
        <f t="shared" si="16"/>
        <v>320- -W</v>
      </c>
      <c r="B321" s="123"/>
      <c r="C321" s="125"/>
      <c r="D321" s="190" t="str" cm="1">
        <f t="array" ref="D321">IFERROR(VLOOKUP(C321,Old_Model_Registry!$B$2:$K$500,{3,10,8,9},0),"")</f>
        <v/>
      </c>
      <c r="E321" s="190"/>
      <c r="F321" s="190"/>
      <c r="G321" s="191"/>
      <c r="H321" s="192">
        <f t="shared" si="17"/>
        <v>0</v>
      </c>
      <c r="I321" s="121"/>
      <c r="J321" s="193" t="str" cm="1">
        <f t="array" ref="J321">IF(I321="No-Retrofit",F321,IFERROR(VLOOKUP(I321,Vstack!$A$2:$L$1000,{8},0),""))</f>
        <v/>
      </c>
      <c r="K321" s="224" t="str" cm="1">
        <f t="array" ref="K321">IF(I321="No-Retrofit",F321,IFERROR(VLOOKUP(I321,Vstack!$A$2:$L$1000,{9},0)*N321,""))</f>
        <v/>
      </c>
      <c r="L321" s="193" t="str" cm="1">
        <f t="array" ref="L321">IF(I321="No-Retrofit",F321,IFERROR(VLOOKUP(I321,Vstack!$A$2:$L$1000,{10,4},0),""))</f>
        <v/>
      </c>
      <c r="M321" s="193"/>
      <c r="N321" s="121"/>
      <c r="O321" s="193" t="str">
        <f t="shared" si="18"/>
        <v/>
      </c>
      <c r="P321" s="195" t="str">
        <f t="shared" si="19"/>
        <v/>
      </c>
      <c r="Q321" s="246"/>
      <c r="R321" s="229"/>
      <c r="S321" s="231"/>
      <c r="T321" s="229"/>
      <c r="U321" s="196">
        <v>320</v>
      </c>
    </row>
    <row r="322" spans="1:21" ht="15" customHeight="1">
      <c r="A322" s="190" t="str">
        <f t="shared" si="16"/>
        <v>321- -W</v>
      </c>
      <c r="B322" s="123"/>
      <c r="C322" s="125"/>
      <c r="D322" s="190" t="str" cm="1">
        <f t="array" ref="D322">IFERROR(VLOOKUP(C322,Old_Model_Registry!$B$2:$K$500,{3,10,8,9},0),"")</f>
        <v/>
      </c>
      <c r="E322" s="190"/>
      <c r="F322" s="190"/>
      <c r="G322" s="191"/>
      <c r="H322" s="192">
        <f t="shared" si="17"/>
        <v>0</v>
      </c>
      <c r="I322" s="121"/>
      <c r="J322" s="193" t="str" cm="1">
        <f t="array" ref="J322">IF(I322="No-Retrofit",F322,IFERROR(VLOOKUP(I322,Vstack!$A$2:$L$1000,{8},0),""))</f>
        <v/>
      </c>
      <c r="K322" s="224" t="str" cm="1">
        <f t="array" ref="K322">IF(I322="No-Retrofit",F322,IFERROR(VLOOKUP(I322,Vstack!$A$2:$L$1000,{9},0)*N322,""))</f>
        <v/>
      </c>
      <c r="L322" s="193" t="str" cm="1">
        <f t="array" ref="L322">IF(I322="No-Retrofit",F322,IFERROR(VLOOKUP(I322,Vstack!$A$2:$L$1000,{10,4},0),""))</f>
        <v/>
      </c>
      <c r="M322" s="193"/>
      <c r="N322" s="121"/>
      <c r="O322" s="193" t="str">
        <f t="shared" si="18"/>
        <v/>
      </c>
      <c r="P322" s="195" t="str">
        <f t="shared" si="19"/>
        <v/>
      </c>
      <c r="Q322" s="246"/>
      <c r="R322" s="229"/>
      <c r="S322" s="231"/>
      <c r="T322" s="229"/>
      <c r="U322" s="196">
        <v>321</v>
      </c>
    </row>
    <row r="323" spans="1:21" ht="15" customHeight="1">
      <c r="A323" s="190" t="str">
        <f t="shared" ref="A323:A386" si="20">U323&amp;"- "&amp;B323&amp;"-"&amp;F323&amp;"W"</f>
        <v>322- -W</v>
      </c>
      <c r="B323" s="123"/>
      <c r="C323" s="125"/>
      <c r="D323" s="190" t="str" cm="1">
        <f t="array" ref="D323">IFERROR(VLOOKUP(C323,Old_Model_Registry!$B$2:$K$500,{3,10,8,9},0),"")</f>
        <v/>
      </c>
      <c r="E323" s="190"/>
      <c r="F323" s="190"/>
      <c r="G323" s="191"/>
      <c r="H323" s="192">
        <f t="shared" ref="H323:H386" si="21">E323*F323</f>
        <v>0</v>
      </c>
      <c r="I323" s="121"/>
      <c r="J323" s="193" t="str" cm="1">
        <f t="array" ref="J323">IF(I323="No-Retrofit",F323,IFERROR(VLOOKUP(I323,Vstack!$A$2:$L$1000,{8},0),""))</f>
        <v/>
      </c>
      <c r="K323" s="224" t="str" cm="1">
        <f t="array" ref="K323">IF(I323="No-Retrofit",F323,IFERROR(VLOOKUP(I323,Vstack!$A$2:$L$1000,{9},0)*N323,""))</f>
        <v/>
      </c>
      <c r="L323" s="193" t="str" cm="1">
        <f t="array" ref="L323">IF(I323="No-Retrofit",F323,IFERROR(VLOOKUP(I323,Vstack!$A$2:$L$1000,{10,4},0),""))</f>
        <v/>
      </c>
      <c r="M323" s="193"/>
      <c r="N323" s="121"/>
      <c r="O323" s="193" t="str">
        <f t="shared" ref="O323:O386" si="22">IFERROR(N323*J323,"")</f>
        <v/>
      </c>
      <c r="P323" s="195" t="str">
        <f t="shared" ref="P323:P386" si="23">IFERROR(-(O323/H323-1),"")</f>
        <v/>
      </c>
      <c r="Q323" s="246"/>
      <c r="R323" s="229"/>
      <c r="S323" s="231"/>
      <c r="T323" s="229"/>
      <c r="U323" s="196">
        <v>322</v>
      </c>
    </row>
    <row r="324" spans="1:21" ht="15" customHeight="1">
      <c r="A324" s="190" t="str">
        <f t="shared" si="20"/>
        <v>323- -W</v>
      </c>
      <c r="B324" s="123"/>
      <c r="C324" s="125"/>
      <c r="D324" s="190" t="str" cm="1">
        <f t="array" ref="D324">IFERROR(VLOOKUP(C324,Old_Model_Registry!$B$2:$K$500,{3,10,8,9},0),"")</f>
        <v/>
      </c>
      <c r="E324" s="190"/>
      <c r="F324" s="190"/>
      <c r="G324" s="191"/>
      <c r="H324" s="192">
        <f t="shared" si="21"/>
        <v>0</v>
      </c>
      <c r="I324" s="121"/>
      <c r="J324" s="193" t="str" cm="1">
        <f t="array" ref="J324">IF(I324="No-Retrofit",F324,IFERROR(VLOOKUP(I324,Vstack!$A$2:$L$1000,{8},0),""))</f>
        <v/>
      </c>
      <c r="K324" s="224" t="str" cm="1">
        <f t="array" ref="K324">IF(I324="No-Retrofit",F324,IFERROR(VLOOKUP(I324,Vstack!$A$2:$L$1000,{9},0)*N324,""))</f>
        <v/>
      </c>
      <c r="L324" s="193" t="str" cm="1">
        <f t="array" ref="L324">IF(I324="No-Retrofit",F324,IFERROR(VLOOKUP(I324,Vstack!$A$2:$L$1000,{10,4},0),""))</f>
        <v/>
      </c>
      <c r="M324" s="193"/>
      <c r="N324" s="121"/>
      <c r="O324" s="193" t="str">
        <f t="shared" si="22"/>
        <v/>
      </c>
      <c r="P324" s="195" t="str">
        <f t="shared" si="23"/>
        <v/>
      </c>
      <c r="Q324" s="246"/>
      <c r="R324" s="229"/>
      <c r="S324" s="245"/>
      <c r="T324" s="229"/>
      <c r="U324" s="196">
        <v>323</v>
      </c>
    </row>
    <row r="325" spans="1:21" ht="15" customHeight="1">
      <c r="A325" s="190" t="str">
        <f t="shared" si="20"/>
        <v>324- -W</v>
      </c>
      <c r="B325" s="123"/>
      <c r="C325" s="125"/>
      <c r="D325" s="190" t="str" cm="1">
        <f t="array" ref="D325">IFERROR(VLOOKUP(C325,Old_Model_Registry!$B$2:$K$500,{3,10,8,9},0),"")</f>
        <v/>
      </c>
      <c r="E325" s="190"/>
      <c r="F325" s="190"/>
      <c r="G325" s="191"/>
      <c r="H325" s="192">
        <f t="shared" si="21"/>
        <v>0</v>
      </c>
      <c r="I325" s="121"/>
      <c r="J325" s="193" t="str" cm="1">
        <f t="array" ref="J325">IF(I325="No-Retrofit",F325,IFERROR(VLOOKUP(I325,Vstack!$A$2:$L$1000,{8},0),""))</f>
        <v/>
      </c>
      <c r="K325" s="224" t="str" cm="1">
        <f t="array" ref="K325">IF(I325="No-Retrofit",F325,IFERROR(VLOOKUP(I325,Vstack!$A$2:$L$1000,{9},0)*N325,""))</f>
        <v/>
      </c>
      <c r="L325" s="193" t="str" cm="1">
        <f t="array" ref="L325">IF(I325="No-Retrofit",F325,IFERROR(VLOOKUP(I325,Vstack!$A$2:$L$1000,{10,4},0),""))</f>
        <v/>
      </c>
      <c r="M325" s="193"/>
      <c r="N325" s="121"/>
      <c r="O325" s="193" t="str">
        <f t="shared" si="22"/>
        <v/>
      </c>
      <c r="P325" s="195" t="str">
        <f t="shared" si="23"/>
        <v/>
      </c>
      <c r="Q325" s="246"/>
      <c r="R325" s="229"/>
      <c r="S325" s="245"/>
      <c r="T325" s="229"/>
      <c r="U325" s="196">
        <v>324</v>
      </c>
    </row>
    <row r="326" spans="1:21" ht="15" customHeight="1">
      <c r="A326" s="190" t="str">
        <f t="shared" si="20"/>
        <v>325- -W</v>
      </c>
      <c r="B326" s="123"/>
      <c r="C326" s="125"/>
      <c r="D326" s="190" t="str" cm="1">
        <f t="array" ref="D326">IFERROR(VLOOKUP(C326,Old_Model_Registry!$B$2:$K$500,{3,10,8,9},0),"")</f>
        <v/>
      </c>
      <c r="E326" s="190"/>
      <c r="F326" s="190"/>
      <c r="G326" s="191"/>
      <c r="H326" s="192">
        <f t="shared" si="21"/>
        <v>0</v>
      </c>
      <c r="I326" s="121"/>
      <c r="J326" s="193" t="str" cm="1">
        <f t="array" ref="J326">IF(I326="No-Retrofit",F326,IFERROR(VLOOKUP(I326,Vstack!$A$2:$L$1000,{8},0),""))</f>
        <v/>
      </c>
      <c r="K326" s="224" t="str" cm="1">
        <f t="array" ref="K326">IF(I326="No-Retrofit",F326,IFERROR(VLOOKUP(I326,Vstack!$A$2:$L$1000,{9},0)*N326,""))</f>
        <v/>
      </c>
      <c r="L326" s="193" t="str" cm="1">
        <f t="array" ref="L326">IF(I326="No-Retrofit",F326,IFERROR(VLOOKUP(I326,Vstack!$A$2:$L$1000,{10,4},0),""))</f>
        <v/>
      </c>
      <c r="M326" s="193"/>
      <c r="N326" s="121"/>
      <c r="O326" s="193" t="str">
        <f t="shared" si="22"/>
        <v/>
      </c>
      <c r="P326" s="195" t="str">
        <f t="shared" si="23"/>
        <v/>
      </c>
      <c r="Q326" s="246"/>
      <c r="R326" s="229"/>
      <c r="S326" s="245"/>
      <c r="T326" s="229"/>
      <c r="U326" s="196">
        <v>325</v>
      </c>
    </row>
    <row r="327" spans="1:21" ht="15" customHeight="1">
      <c r="A327" s="190" t="str">
        <f t="shared" si="20"/>
        <v>326- -W</v>
      </c>
      <c r="B327" s="123"/>
      <c r="C327" s="125"/>
      <c r="D327" s="190" t="str" cm="1">
        <f t="array" ref="D327">IFERROR(VLOOKUP(C327,Old_Model_Registry!$B$2:$K$500,{3,10,8,9},0),"")</f>
        <v/>
      </c>
      <c r="E327" s="190"/>
      <c r="F327" s="190"/>
      <c r="G327" s="191"/>
      <c r="H327" s="192">
        <f t="shared" si="21"/>
        <v>0</v>
      </c>
      <c r="I327" s="121"/>
      <c r="J327" s="193" t="str" cm="1">
        <f t="array" ref="J327">IF(I327="No-Retrofit",F327,IFERROR(VLOOKUP(I327,Vstack!$A$2:$L$1000,{8},0),""))</f>
        <v/>
      </c>
      <c r="K327" s="224" t="str" cm="1">
        <f t="array" ref="K327">IF(I327="No-Retrofit",F327,IFERROR(VLOOKUP(I327,Vstack!$A$2:$L$1000,{9},0)*N327,""))</f>
        <v/>
      </c>
      <c r="L327" s="193" t="str" cm="1">
        <f t="array" ref="L327">IF(I327="No-Retrofit",F327,IFERROR(VLOOKUP(I327,Vstack!$A$2:$L$1000,{10,4},0),""))</f>
        <v/>
      </c>
      <c r="M327" s="193"/>
      <c r="N327" s="121"/>
      <c r="O327" s="193" t="str">
        <f t="shared" si="22"/>
        <v/>
      </c>
      <c r="P327" s="195" t="str">
        <f t="shared" si="23"/>
        <v/>
      </c>
      <c r="Q327" s="246"/>
      <c r="R327" s="229"/>
      <c r="S327" s="231"/>
      <c r="T327" s="229"/>
      <c r="U327" s="196">
        <v>326</v>
      </c>
    </row>
    <row r="328" spans="1:21" ht="15" customHeight="1">
      <c r="A328" s="190" t="str">
        <f t="shared" si="20"/>
        <v>327- -W</v>
      </c>
      <c r="B328" s="123"/>
      <c r="C328" s="125"/>
      <c r="D328" s="190" t="str" cm="1">
        <f t="array" ref="D328">IFERROR(VLOOKUP(C328,Old_Model_Registry!$B$2:$K$500,{3,10,8,9},0),"")</f>
        <v/>
      </c>
      <c r="E328" s="190"/>
      <c r="F328" s="190"/>
      <c r="G328" s="191"/>
      <c r="H328" s="192">
        <f t="shared" si="21"/>
        <v>0</v>
      </c>
      <c r="I328" s="121"/>
      <c r="J328" s="193" t="str" cm="1">
        <f t="array" ref="J328">IF(I328="No-Retrofit",F328,IFERROR(VLOOKUP(I328,Vstack!$A$2:$L$1000,{8},0),""))</f>
        <v/>
      </c>
      <c r="K328" s="224" t="str" cm="1">
        <f t="array" ref="K328">IF(I328="No-Retrofit",F328,IFERROR(VLOOKUP(I328,Vstack!$A$2:$L$1000,{9},0)*N328,""))</f>
        <v/>
      </c>
      <c r="L328" s="193" t="str" cm="1">
        <f t="array" ref="L328">IF(I328="No-Retrofit",F328,IFERROR(VLOOKUP(I328,Vstack!$A$2:$L$1000,{10,4},0),""))</f>
        <v/>
      </c>
      <c r="M328" s="193"/>
      <c r="N328" s="121"/>
      <c r="O328" s="193" t="str">
        <f t="shared" si="22"/>
        <v/>
      </c>
      <c r="P328" s="195" t="str">
        <f t="shared" si="23"/>
        <v/>
      </c>
      <c r="Q328" s="246"/>
      <c r="R328" s="229"/>
      <c r="S328" s="245"/>
      <c r="T328" s="229"/>
      <c r="U328" s="196">
        <v>327</v>
      </c>
    </row>
    <row r="329" spans="1:21" ht="15" customHeight="1">
      <c r="A329" s="190" t="str">
        <f t="shared" si="20"/>
        <v>328- -W</v>
      </c>
      <c r="B329" s="123"/>
      <c r="C329" s="125"/>
      <c r="D329" s="190" t="str" cm="1">
        <f t="array" ref="D329">IFERROR(VLOOKUP(C329,Old_Model_Registry!$B$2:$K$500,{3,10,8,9},0),"")</f>
        <v/>
      </c>
      <c r="E329" s="190"/>
      <c r="F329" s="190"/>
      <c r="G329" s="191"/>
      <c r="H329" s="192">
        <f t="shared" si="21"/>
        <v>0</v>
      </c>
      <c r="I329" s="121"/>
      <c r="J329" s="193" t="str" cm="1">
        <f t="array" ref="J329">IF(I329="No-Retrofit",F329,IFERROR(VLOOKUP(I329,Vstack!$A$2:$L$1000,{8},0),""))</f>
        <v/>
      </c>
      <c r="K329" s="224" t="str" cm="1">
        <f t="array" ref="K329">IF(I329="No-Retrofit",F329,IFERROR(VLOOKUP(I329,Vstack!$A$2:$L$1000,{9},0)*N329,""))</f>
        <v/>
      </c>
      <c r="L329" s="193" t="str" cm="1">
        <f t="array" ref="L329">IF(I329="No-Retrofit",F329,IFERROR(VLOOKUP(I329,Vstack!$A$2:$L$1000,{10,4},0),""))</f>
        <v/>
      </c>
      <c r="M329" s="193"/>
      <c r="N329" s="121"/>
      <c r="O329" s="193" t="str">
        <f t="shared" si="22"/>
        <v/>
      </c>
      <c r="P329" s="195" t="str">
        <f t="shared" si="23"/>
        <v/>
      </c>
      <c r="Q329" s="246"/>
      <c r="R329" s="229"/>
      <c r="S329" s="245"/>
      <c r="T329" s="229"/>
      <c r="U329" s="196">
        <v>328</v>
      </c>
    </row>
    <row r="330" spans="1:21" ht="15" customHeight="1">
      <c r="A330" s="190" t="str">
        <f t="shared" si="20"/>
        <v>329- -W</v>
      </c>
      <c r="B330" s="123"/>
      <c r="C330" s="125"/>
      <c r="D330" s="190" t="str" cm="1">
        <f t="array" ref="D330">IFERROR(VLOOKUP(C330,Old_Model_Registry!$B$2:$K$500,{3,10,8,9},0),"")</f>
        <v/>
      </c>
      <c r="E330" s="190"/>
      <c r="F330" s="190"/>
      <c r="G330" s="191"/>
      <c r="H330" s="192">
        <f t="shared" si="21"/>
        <v>0</v>
      </c>
      <c r="I330" s="121"/>
      <c r="J330" s="193" t="str" cm="1">
        <f t="array" ref="J330">IF(I330="No-Retrofit",F330,IFERROR(VLOOKUP(I330,Vstack!$A$2:$L$1000,{8},0),""))</f>
        <v/>
      </c>
      <c r="K330" s="224" t="str" cm="1">
        <f t="array" ref="K330">IF(I330="No-Retrofit",F330,IFERROR(VLOOKUP(I330,Vstack!$A$2:$L$1000,{9},0)*N330,""))</f>
        <v/>
      </c>
      <c r="L330" s="193" t="str" cm="1">
        <f t="array" ref="L330">IF(I330="No-Retrofit",F330,IFERROR(VLOOKUP(I330,Vstack!$A$2:$L$1000,{10,4},0),""))</f>
        <v/>
      </c>
      <c r="M330" s="193"/>
      <c r="N330" s="121"/>
      <c r="O330" s="193" t="str">
        <f t="shared" si="22"/>
        <v/>
      </c>
      <c r="P330" s="195" t="str">
        <f t="shared" si="23"/>
        <v/>
      </c>
      <c r="Q330" s="246"/>
      <c r="R330" s="229"/>
      <c r="S330" s="245"/>
      <c r="T330" s="229"/>
      <c r="U330" s="196">
        <v>329</v>
      </c>
    </row>
    <row r="331" spans="1:21" ht="15" customHeight="1">
      <c r="A331" s="190" t="str">
        <f t="shared" si="20"/>
        <v>330- -W</v>
      </c>
      <c r="B331" s="123"/>
      <c r="C331" s="125"/>
      <c r="D331" s="190" t="str" cm="1">
        <f t="array" ref="D331">IFERROR(VLOOKUP(C331,Old_Model_Registry!$B$2:$K$500,{3,10,8,9},0),"")</f>
        <v/>
      </c>
      <c r="E331" s="190"/>
      <c r="F331" s="190"/>
      <c r="G331" s="191"/>
      <c r="H331" s="192">
        <f t="shared" si="21"/>
        <v>0</v>
      </c>
      <c r="I331" s="121"/>
      <c r="J331" s="193" t="str" cm="1">
        <f t="array" ref="J331">IF(I331="No-Retrofit",F331,IFERROR(VLOOKUP(I331,Vstack!$A$2:$L$1000,{8},0),""))</f>
        <v/>
      </c>
      <c r="K331" s="224" t="str" cm="1">
        <f t="array" ref="K331">IF(I331="No-Retrofit",F331,IFERROR(VLOOKUP(I331,Vstack!$A$2:$L$1000,{9},0)*N331,""))</f>
        <v/>
      </c>
      <c r="L331" s="193" t="str" cm="1">
        <f t="array" ref="L331">IF(I331="No-Retrofit",F331,IFERROR(VLOOKUP(I331,Vstack!$A$2:$L$1000,{10,4},0),""))</f>
        <v/>
      </c>
      <c r="M331" s="193"/>
      <c r="N331" s="121"/>
      <c r="O331" s="193" t="str">
        <f t="shared" si="22"/>
        <v/>
      </c>
      <c r="P331" s="195" t="str">
        <f t="shared" si="23"/>
        <v/>
      </c>
      <c r="Q331" s="246"/>
      <c r="R331" s="229"/>
      <c r="S331" s="245"/>
      <c r="T331" s="229"/>
      <c r="U331" s="196">
        <v>330</v>
      </c>
    </row>
    <row r="332" spans="1:21" ht="15" customHeight="1">
      <c r="A332" s="190" t="str">
        <f t="shared" si="20"/>
        <v>331- -W</v>
      </c>
      <c r="B332" s="123"/>
      <c r="C332" s="125"/>
      <c r="D332" s="190" t="str" cm="1">
        <f t="array" ref="D332">IFERROR(VLOOKUP(C332,Old_Model_Registry!$B$2:$K$500,{3,10,8,9},0),"")</f>
        <v/>
      </c>
      <c r="E332" s="190"/>
      <c r="F332" s="190"/>
      <c r="G332" s="191"/>
      <c r="H332" s="192">
        <f t="shared" si="21"/>
        <v>0</v>
      </c>
      <c r="I332" s="121"/>
      <c r="J332" s="193" t="str" cm="1">
        <f t="array" ref="J332">IF(I332="No-Retrofit",F332,IFERROR(VLOOKUP(I332,Vstack!$A$2:$L$1000,{8},0),""))</f>
        <v/>
      </c>
      <c r="K332" s="224" t="str" cm="1">
        <f t="array" ref="K332">IF(I332="No-Retrofit",F332,IFERROR(VLOOKUP(I332,Vstack!$A$2:$L$1000,{9},0)*N332,""))</f>
        <v/>
      </c>
      <c r="L332" s="193" t="str" cm="1">
        <f t="array" ref="L332">IF(I332="No-Retrofit",F332,IFERROR(VLOOKUP(I332,Vstack!$A$2:$L$1000,{10,4},0),""))</f>
        <v/>
      </c>
      <c r="M332" s="193"/>
      <c r="N332" s="121"/>
      <c r="O332" s="193" t="str">
        <f t="shared" si="22"/>
        <v/>
      </c>
      <c r="P332" s="195" t="str">
        <f t="shared" si="23"/>
        <v/>
      </c>
      <c r="Q332" s="246"/>
      <c r="R332" s="229"/>
      <c r="S332" s="245"/>
      <c r="T332" s="229"/>
      <c r="U332" s="196">
        <v>331</v>
      </c>
    </row>
    <row r="333" spans="1:21" ht="15" customHeight="1">
      <c r="A333" s="190" t="str">
        <f t="shared" si="20"/>
        <v>332- -W</v>
      </c>
      <c r="B333" s="123"/>
      <c r="C333" s="125"/>
      <c r="D333" s="190" t="str" cm="1">
        <f t="array" ref="D333">IFERROR(VLOOKUP(C333,Old_Model_Registry!$B$2:$K$500,{3,10,8,9},0),"")</f>
        <v/>
      </c>
      <c r="E333" s="190"/>
      <c r="F333" s="190"/>
      <c r="G333" s="191"/>
      <c r="H333" s="192">
        <f t="shared" si="21"/>
        <v>0</v>
      </c>
      <c r="I333" s="121"/>
      <c r="J333" s="193" t="str" cm="1">
        <f t="array" ref="J333">IF(I333="No-Retrofit",F333,IFERROR(VLOOKUP(I333,Vstack!$A$2:$L$1000,{8},0),""))</f>
        <v/>
      </c>
      <c r="K333" s="224" t="str" cm="1">
        <f t="array" ref="K333">IF(I333="No-Retrofit",F333,IFERROR(VLOOKUP(I333,Vstack!$A$2:$L$1000,{9},0)*N333,""))</f>
        <v/>
      </c>
      <c r="L333" s="193" t="str" cm="1">
        <f t="array" ref="L333">IF(I333="No-Retrofit",F333,IFERROR(VLOOKUP(I333,Vstack!$A$2:$L$1000,{10,4},0),""))</f>
        <v/>
      </c>
      <c r="M333" s="193"/>
      <c r="N333" s="121"/>
      <c r="O333" s="193" t="str">
        <f t="shared" si="22"/>
        <v/>
      </c>
      <c r="P333" s="195" t="str">
        <f t="shared" si="23"/>
        <v/>
      </c>
      <c r="Q333" s="246"/>
      <c r="R333" s="229"/>
      <c r="S333" s="231"/>
      <c r="T333" s="229"/>
      <c r="U333" s="196">
        <v>332</v>
      </c>
    </row>
    <row r="334" spans="1:21" ht="15" customHeight="1">
      <c r="A334" s="190" t="str">
        <f t="shared" si="20"/>
        <v>333- -W</v>
      </c>
      <c r="B334" s="123"/>
      <c r="C334" s="125"/>
      <c r="D334" s="190" t="str" cm="1">
        <f t="array" ref="D334">IFERROR(VLOOKUP(C334,Old_Model_Registry!$B$2:$K$500,{3,10,8,9},0),"")</f>
        <v/>
      </c>
      <c r="E334" s="190"/>
      <c r="F334" s="190"/>
      <c r="G334" s="191"/>
      <c r="H334" s="192">
        <f t="shared" si="21"/>
        <v>0</v>
      </c>
      <c r="I334" s="121"/>
      <c r="J334" s="193" t="str" cm="1">
        <f t="array" ref="J334">IF(I334="No-Retrofit",F334,IFERROR(VLOOKUP(I334,Vstack!$A$2:$L$1000,{8},0),""))</f>
        <v/>
      </c>
      <c r="K334" s="224" t="str" cm="1">
        <f t="array" ref="K334">IF(I334="No-Retrofit",F334,IFERROR(VLOOKUP(I334,Vstack!$A$2:$L$1000,{9},0)*N334,""))</f>
        <v/>
      </c>
      <c r="L334" s="193" t="str" cm="1">
        <f t="array" ref="L334">IF(I334="No-Retrofit",F334,IFERROR(VLOOKUP(I334,Vstack!$A$2:$L$1000,{10,4},0),""))</f>
        <v/>
      </c>
      <c r="M334" s="193"/>
      <c r="N334" s="121"/>
      <c r="O334" s="193" t="str">
        <f t="shared" si="22"/>
        <v/>
      </c>
      <c r="P334" s="195" t="str">
        <f t="shared" si="23"/>
        <v/>
      </c>
      <c r="Q334" s="246"/>
      <c r="R334" s="229"/>
      <c r="S334" s="231"/>
      <c r="T334" s="229"/>
      <c r="U334" s="196">
        <v>333</v>
      </c>
    </row>
    <row r="335" spans="1:21" ht="15" customHeight="1">
      <c r="A335" s="190" t="str">
        <f t="shared" si="20"/>
        <v>334- -W</v>
      </c>
      <c r="B335" s="123"/>
      <c r="C335" s="125"/>
      <c r="D335" s="190" t="str" cm="1">
        <f t="array" ref="D335">IFERROR(VLOOKUP(C335,Old_Model_Registry!$B$2:$K$500,{3,10,8,9},0),"")</f>
        <v/>
      </c>
      <c r="E335" s="190"/>
      <c r="F335" s="190"/>
      <c r="G335" s="191"/>
      <c r="H335" s="192">
        <f t="shared" si="21"/>
        <v>0</v>
      </c>
      <c r="I335" s="121"/>
      <c r="J335" s="193" t="str" cm="1">
        <f t="array" ref="J335">IF(I335="No-Retrofit",F335,IFERROR(VLOOKUP(I335,Vstack!$A$2:$L$1000,{8},0),""))</f>
        <v/>
      </c>
      <c r="K335" s="224" t="str" cm="1">
        <f t="array" ref="K335">IF(I335="No-Retrofit",F335,IFERROR(VLOOKUP(I335,Vstack!$A$2:$L$1000,{9},0)*N335,""))</f>
        <v/>
      </c>
      <c r="L335" s="193" t="str" cm="1">
        <f t="array" ref="L335">IF(I335="No-Retrofit",F335,IFERROR(VLOOKUP(I335,Vstack!$A$2:$L$1000,{10,4},0),""))</f>
        <v/>
      </c>
      <c r="M335" s="193"/>
      <c r="N335" s="121"/>
      <c r="O335" s="193" t="str">
        <f t="shared" si="22"/>
        <v/>
      </c>
      <c r="P335" s="195" t="str">
        <f t="shared" si="23"/>
        <v/>
      </c>
      <c r="Q335" s="246"/>
      <c r="R335" s="229"/>
      <c r="S335" s="245"/>
      <c r="T335" s="229"/>
      <c r="U335" s="196">
        <v>334</v>
      </c>
    </row>
    <row r="336" spans="1:21" ht="15" customHeight="1">
      <c r="A336" s="190" t="str">
        <f t="shared" si="20"/>
        <v>335- -W</v>
      </c>
      <c r="B336" s="123"/>
      <c r="C336" s="125"/>
      <c r="D336" s="190" t="str" cm="1">
        <f t="array" ref="D336">IFERROR(VLOOKUP(C336,Old_Model_Registry!$B$2:$K$500,{3,10,8,9},0),"")</f>
        <v/>
      </c>
      <c r="E336" s="190"/>
      <c r="F336" s="190"/>
      <c r="G336" s="191"/>
      <c r="H336" s="192">
        <f t="shared" si="21"/>
        <v>0</v>
      </c>
      <c r="I336" s="121"/>
      <c r="J336" s="193" t="str" cm="1">
        <f t="array" ref="J336">IF(I336="No-Retrofit",F336,IFERROR(VLOOKUP(I336,Vstack!$A$2:$L$1000,{8},0),""))</f>
        <v/>
      </c>
      <c r="K336" s="224" t="str" cm="1">
        <f t="array" ref="K336">IF(I336="No-Retrofit",F336,IFERROR(VLOOKUP(I336,Vstack!$A$2:$L$1000,{9},0)*N336,""))</f>
        <v/>
      </c>
      <c r="L336" s="193" t="str" cm="1">
        <f t="array" ref="L336">IF(I336="No-Retrofit",F336,IFERROR(VLOOKUP(I336,Vstack!$A$2:$L$1000,{10,4},0),""))</f>
        <v/>
      </c>
      <c r="M336" s="193"/>
      <c r="N336" s="121"/>
      <c r="O336" s="193" t="str">
        <f t="shared" si="22"/>
        <v/>
      </c>
      <c r="P336" s="195" t="str">
        <f t="shared" si="23"/>
        <v/>
      </c>
      <c r="Q336" s="246"/>
      <c r="R336" s="229"/>
      <c r="S336" s="231"/>
      <c r="T336" s="229"/>
      <c r="U336" s="196">
        <v>335</v>
      </c>
    </row>
    <row r="337" spans="1:21" ht="15" customHeight="1">
      <c r="A337" s="190" t="str">
        <f t="shared" si="20"/>
        <v>336- -W</v>
      </c>
      <c r="B337" s="123"/>
      <c r="C337" s="125"/>
      <c r="D337" s="190" t="str" cm="1">
        <f t="array" ref="D337">IFERROR(VLOOKUP(C337,Old_Model_Registry!$B$2:$K$500,{3,10,8,9},0),"")</f>
        <v/>
      </c>
      <c r="E337" s="190"/>
      <c r="F337" s="190"/>
      <c r="G337" s="191"/>
      <c r="H337" s="192">
        <f t="shared" si="21"/>
        <v>0</v>
      </c>
      <c r="I337" s="121"/>
      <c r="J337" s="193" t="str" cm="1">
        <f t="array" ref="J337">IF(I337="No-Retrofit",F337,IFERROR(VLOOKUP(I337,Vstack!$A$2:$L$1000,{8},0),""))</f>
        <v/>
      </c>
      <c r="K337" s="224" t="str" cm="1">
        <f t="array" ref="K337">IF(I337="No-Retrofit",F337,IFERROR(VLOOKUP(I337,Vstack!$A$2:$L$1000,{9},0)*N337,""))</f>
        <v/>
      </c>
      <c r="L337" s="193" t="str" cm="1">
        <f t="array" ref="L337">IF(I337="No-Retrofit",F337,IFERROR(VLOOKUP(I337,Vstack!$A$2:$L$1000,{10,4},0),""))</f>
        <v/>
      </c>
      <c r="M337" s="193"/>
      <c r="N337" s="121"/>
      <c r="O337" s="193" t="str">
        <f t="shared" si="22"/>
        <v/>
      </c>
      <c r="P337" s="195" t="str">
        <f t="shared" si="23"/>
        <v/>
      </c>
      <c r="Q337" s="246"/>
      <c r="R337" s="229"/>
      <c r="S337" s="245"/>
      <c r="T337" s="229"/>
      <c r="U337" s="196">
        <v>336</v>
      </c>
    </row>
    <row r="338" spans="1:21" ht="15" customHeight="1">
      <c r="A338" s="190" t="str">
        <f t="shared" si="20"/>
        <v>337- -W</v>
      </c>
      <c r="B338" s="123"/>
      <c r="C338" s="125"/>
      <c r="D338" s="190" t="str" cm="1">
        <f t="array" ref="D338">IFERROR(VLOOKUP(C338,Old_Model_Registry!$B$2:$K$500,{3,10,8,9},0),"")</f>
        <v/>
      </c>
      <c r="E338" s="190"/>
      <c r="F338" s="190"/>
      <c r="G338" s="191"/>
      <c r="H338" s="192">
        <f t="shared" si="21"/>
        <v>0</v>
      </c>
      <c r="I338" s="121"/>
      <c r="J338" s="193" t="str" cm="1">
        <f t="array" ref="J338">IF(I338="No-Retrofit",F338,IFERROR(VLOOKUP(I338,Vstack!$A$2:$L$1000,{8},0),""))</f>
        <v/>
      </c>
      <c r="K338" s="224" t="str" cm="1">
        <f t="array" ref="K338">IF(I338="No-Retrofit",F338,IFERROR(VLOOKUP(I338,Vstack!$A$2:$L$1000,{9},0)*N338,""))</f>
        <v/>
      </c>
      <c r="L338" s="193" t="str" cm="1">
        <f t="array" ref="L338">IF(I338="No-Retrofit",F338,IFERROR(VLOOKUP(I338,Vstack!$A$2:$L$1000,{10,4},0),""))</f>
        <v/>
      </c>
      <c r="M338" s="193"/>
      <c r="N338" s="121"/>
      <c r="O338" s="193" t="str">
        <f t="shared" si="22"/>
        <v/>
      </c>
      <c r="P338" s="195" t="str">
        <f t="shared" si="23"/>
        <v/>
      </c>
      <c r="Q338" s="246"/>
      <c r="R338" s="229"/>
      <c r="S338" s="231"/>
      <c r="T338" s="229"/>
      <c r="U338" s="196">
        <v>337</v>
      </c>
    </row>
    <row r="339" spans="1:21" ht="15" customHeight="1">
      <c r="A339" s="190" t="str">
        <f t="shared" si="20"/>
        <v>338- -W</v>
      </c>
      <c r="B339" s="123"/>
      <c r="C339" s="125"/>
      <c r="D339" s="190" t="str" cm="1">
        <f t="array" ref="D339">IFERROR(VLOOKUP(C339,Old_Model_Registry!$B$2:$K$500,{3,10,8,9},0),"")</f>
        <v/>
      </c>
      <c r="E339" s="190"/>
      <c r="F339" s="190"/>
      <c r="G339" s="191"/>
      <c r="H339" s="192">
        <f t="shared" si="21"/>
        <v>0</v>
      </c>
      <c r="I339" s="121"/>
      <c r="J339" s="193" t="str" cm="1">
        <f t="array" ref="J339">IF(I339="No-Retrofit",F339,IFERROR(VLOOKUP(I339,Vstack!$A$2:$L$1000,{8},0),""))</f>
        <v/>
      </c>
      <c r="K339" s="224" t="str" cm="1">
        <f t="array" ref="K339">IF(I339="No-Retrofit",F339,IFERROR(VLOOKUP(I339,Vstack!$A$2:$L$1000,{9},0)*N339,""))</f>
        <v/>
      </c>
      <c r="L339" s="193" t="str" cm="1">
        <f t="array" ref="L339">IF(I339="No-Retrofit",F339,IFERROR(VLOOKUP(I339,Vstack!$A$2:$L$1000,{10,4},0),""))</f>
        <v/>
      </c>
      <c r="M339" s="193"/>
      <c r="N339" s="121"/>
      <c r="O339" s="193" t="str">
        <f t="shared" si="22"/>
        <v/>
      </c>
      <c r="P339" s="195" t="str">
        <f t="shared" si="23"/>
        <v/>
      </c>
      <c r="Q339" s="246"/>
      <c r="R339" s="229"/>
      <c r="S339" s="245"/>
      <c r="T339" s="229"/>
      <c r="U339" s="196">
        <v>338</v>
      </c>
    </row>
    <row r="340" spans="1:21" ht="15" customHeight="1">
      <c r="A340" s="190" t="str">
        <f t="shared" si="20"/>
        <v>339- -W</v>
      </c>
      <c r="B340" s="123"/>
      <c r="C340" s="125"/>
      <c r="D340" s="190" t="str" cm="1">
        <f t="array" ref="D340">IFERROR(VLOOKUP(C340,Old_Model_Registry!$B$2:$K$500,{3,10,8,9},0),"")</f>
        <v/>
      </c>
      <c r="E340" s="190"/>
      <c r="F340" s="190"/>
      <c r="G340" s="191"/>
      <c r="H340" s="192">
        <f t="shared" si="21"/>
        <v>0</v>
      </c>
      <c r="I340" s="121"/>
      <c r="J340" s="193" t="str" cm="1">
        <f t="array" ref="J340">IF(I340="No-Retrofit",F340,IFERROR(VLOOKUP(I340,Vstack!$A$2:$L$1000,{8},0),""))</f>
        <v/>
      </c>
      <c r="K340" s="224" t="str" cm="1">
        <f t="array" ref="K340">IF(I340="No-Retrofit",F340,IFERROR(VLOOKUP(I340,Vstack!$A$2:$L$1000,{9},0)*N340,""))</f>
        <v/>
      </c>
      <c r="L340" s="193" t="str" cm="1">
        <f t="array" ref="L340">IF(I340="No-Retrofit",F340,IFERROR(VLOOKUP(I340,Vstack!$A$2:$L$1000,{10,4},0),""))</f>
        <v/>
      </c>
      <c r="M340" s="193"/>
      <c r="N340" s="121"/>
      <c r="O340" s="193" t="str">
        <f t="shared" si="22"/>
        <v/>
      </c>
      <c r="P340" s="195" t="str">
        <f t="shared" si="23"/>
        <v/>
      </c>
      <c r="Q340" s="246"/>
      <c r="R340" s="229"/>
      <c r="S340" s="245"/>
      <c r="T340" s="229"/>
      <c r="U340" s="196">
        <v>339</v>
      </c>
    </row>
    <row r="341" spans="1:21" ht="15" customHeight="1">
      <c r="A341" s="190" t="str">
        <f t="shared" si="20"/>
        <v>340- -W</v>
      </c>
      <c r="B341" s="123"/>
      <c r="C341" s="125"/>
      <c r="D341" s="190" t="str" cm="1">
        <f t="array" ref="D341">IFERROR(VLOOKUP(C341,Old_Model_Registry!$B$2:$K$500,{3,10,8,9},0),"")</f>
        <v/>
      </c>
      <c r="E341" s="190"/>
      <c r="F341" s="190"/>
      <c r="G341" s="191"/>
      <c r="H341" s="192">
        <f t="shared" si="21"/>
        <v>0</v>
      </c>
      <c r="I341" s="121"/>
      <c r="J341" s="193" t="str" cm="1">
        <f t="array" ref="J341">IF(I341="No-Retrofit",F341,IFERROR(VLOOKUP(I341,Vstack!$A$2:$L$1000,{8},0),""))</f>
        <v/>
      </c>
      <c r="K341" s="224" t="str" cm="1">
        <f t="array" ref="K341">IF(I341="No-Retrofit",F341,IFERROR(VLOOKUP(I341,Vstack!$A$2:$L$1000,{9},0)*N341,""))</f>
        <v/>
      </c>
      <c r="L341" s="193" t="str" cm="1">
        <f t="array" ref="L341">IF(I341="No-Retrofit",F341,IFERROR(VLOOKUP(I341,Vstack!$A$2:$L$1000,{10,4},0),""))</f>
        <v/>
      </c>
      <c r="M341" s="193"/>
      <c r="N341" s="121"/>
      <c r="O341" s="193" t="str">
        <f t="shared" si="22"/>
        <v/>
      </c>
      <c r="P341" s="195" t="str">
        <f t="shared" si="23"/>
        <v/>
      </c>
      <c r="Q341" s="246"/>
      <c r="R341" s="229"/>
      <c r="S341" s="245"/>
      <c r="T341" s="229"/>
      <c r="U341" s="196">
        <v>340</v>
      </c>
    </row>
    <row r="342" spans="1:21" ht="15" customHeight="1">
      <c r="A342" s="190" t="str">
        <f t="shared" si="20"/>
        <v>341- -W</v>
      </c>
      <c r="B342" s="123"/>
      <c r="C342" s="125"/>
      <c r="D342" s="190" t="str" cm="1">
        <f t="array" ref="D342">IFERROR(VLOOKUP(C342,Old_Model_Registry!$B$2:$K$500,{3,10,8,9},0),"")</f>
        <v/>
      </c>
      <c r="E342" s="190"/>
      <c r="F342" s="190"/>
      <c r="G342" s="191"/>
      <c r="H342" s="192">
        <f t="shared" si="21"/>
        <v>0</v>
      </c>
      <c r="I342" s="121"/>
      <c r="J342" s="193" t="str" cm="1">
        <f t="array" ref="J342">IF(I342="No-Retrofit",F342,IFERROR(VLOOKUP(I342,Vstack!$A$2:$L$1000,{8},0),""))</f>
        <v/>
      </c>
      <c r="K342" s="224" t="str" cm="1">
        <f t="array" ref="K342">IF(I342="No-Retrofit",F342,IFERROR(VLOOKUP(I342,Vstack!$A$2:$L$1000,{9},0)*N342,""))</f>
        <v/>
      </c>
      <c r="L342" s="193" t="str" cm="1">
        <f t="array" ref="L342">IF(I342="No-Retrofit",F342,IFERROR(VLOOKUP(I342,Vstack!$A$2:$L$1000,{10,4},0),""))</f>
        <v/>
      </c>
      <c r="M342" s="193"/>
      <c r="N342" s="121"/>
      <c r="O342" s="193" t="str">
        <f t="shared" si="22"/>
        <v/>
      </c>
      <c r="P342" s="195" t="str">
        <f t="shared" si="23"/>
        <v/>
      </c>
      <c r="Q342" s="246"/>
      <c r="R342" s="229"/>
      <c r="S342" s="245"/>
      <c r="T342" s="229"/>
      <c r="U342" s="196">
        <v>341</v>
      </c>
    </row>
    <row r="343" spans="1:21" ht="15" customHeight="1">
      <c r="A343" s="190" t="str">
        <f t="shared" si="20"/>
        <v>342- -W</v>
      </c>
      <c r="B343" s="123"/>
      <c r="C343" s="125"/>
      <c r="D343" s="190" t="str" cm="1">
        <f t="array" ref="D343">IFERROR(VLOOKUP(C343,Old_Model_Registry!$B$2:$K$500,{3,10,8,9},0),"")</f>
        <v/>
      </c>
      <c r="E343" s="190"/>
      <c r="F343" s="190"/>
      <c r="G343" s="191"/>
      <c r="H343" s="192">
        <f t="shared" si="21"/>
        <v>0</v>
      </c>
      <c r="I343" s="121"/>
      <c r="J343" s="193" t="str" cm="1">
        <f t="array" ref="J343">IF(I343="No-Retrofit",F343,IFERROR(VLOOKUP(I343,Vstack!$A$2:$L$1000,{8},0),""))</f>
        <v/>
      </c>
      <c r="K343" s="224" t="str" cm="1">
        <f t="array" ref="K343">IF(I343="No-Retrofit",F343,IFERROR(VLOOKUP(I343,Vstack!$A$2:$L$1000,{9},0)*N343,""))</f>
        <v/>
      </c>
      <c r="L343" s="193" t="str" cm="1">
        <f t="array" ref="L343">IF(I343="No-Retrofit",F343,IFERROR(VLOOKUP(I343,Vstack!$A$2:$L$1000,{10,4},0),""))</f>
        <v/>
      </c>
      <c r="M343" s="193"/>
      <c r="N343" s="121"/>
      <c r="O343" s="193" t="str">
        <f t="shared" si="22"/>
        <v/>
      </c>
      <c r="P343" s="195" t="str">
        <f t="shared" si="23"/>
        <v/>
      </c>
      <c r="Q343" s="246"/>
      <c r="R343" s="229"/>
      <c r="S343" s="245"/>
      <c r="T343" s="229"/>
      <c r="U343" s="196">
        <v>342</v>
      </c>
    </row>
    <row r="344" spans="1:21" ht="15" customHeight="1">
      <c r="A344" s="190" t="str">
        <f t="shared" si="20"/>
        <v>343- -W</v>
      </c>
      <c r="B344" s="123"/>
      <c r="C344" s="125"/>
      <c r="D344" s="190" t="str" cm="1">
        <f t="array" ref="D344">IFERROR(VLOOKUP(C344,Old_Model_Registry!$B$2:$K$500,{3,10,8,9},0),"")</f>
        <v/>
      </c>
      <c r="E344" s="190"/>
      <c r="F344" s="190"/>
      <c r="G344" s="191"/>
      <c r="H344" s="192">
        <f t="shared" si="21"/>
        <v>0</v>
      </c>
      <c r="I344" s="121"/>
      <c r="J344" s="193" t="str" cm="1">
        <f t="array" ref="J344">IF(I344="No-Retrofit",F344,IFERROR(VLOOKUP(I344,Vstack!$A$2:$L$1000,{8},0),""))</f>
        <v/>
      </c>
      <c r="K344" s="224" t="str" cm="1">
        <f t="array" ref="K344">IF(I344="No-Retrofit",F344,IFERROR(VLOOKUP(I344,Vstack!$A$2:$L$1000,{9},0)*N344,""))</f>
        <v/>
      </c>
      <c r="L344" s="193" t="str" cm="1">
        <f t="array" ref="L344">IF(I344="No-Retrofit",F344,IFERROR(VLOOKUP(I344,Vstack!$A$2:$L$1000,{10,4},0),""))</f>
        <v/>
      </c>
      <c r="M344" s="193"/>
      <c r="N344" s="121"/>
      <c r="O344" s="193" t="str">
        <f t="shared" si="22"/>
        <v/>
      </c>
      <c r="P344" s="195" t="str">
        <f t="shared" si="23"/>
        <v/>
      </c>
      <c r="Q344" s="246"/>
      <c r="R344" s="229"/>
      <c r="S344" s="245"/>
      <c r="T344" s="229"/>
      <c r="U344" s="196">
        <v>343</v>
      </c>
    </row>
    <row r="345" spans="1:21" ht="15" customHeight="1">
      <c r="A345" s="190" t="str">
        <f t="shared" si="20"/>
        <v>344- -W</v>
      </c>
      <c r="B345" s="123"/>
      <c r="C345" s="125"/>
      <c r="D345" s="190" t="str" cm="1">
        <f t="array" ref="D345">IFERROR(VLOOKUP(C345,Old_Model_Registry!$B$2:$K$500,{3,10,8,9},0),"")</f>
        <v/>
      </c>
      <c r="E345" s="190"/>
      <c r="F345" s="190"/>
      <c r="G345" s="191"/>
      <c r="H345" s="192">
        <f t="shared" si="21"/>
        <v>0</v>
      </c>
      <c r="I345" s="121"/>
      <c r="J345" s="193" t="str" cm="1">
        <f t="array" ref="J345">IF(I345="No-Retrofit",F345,IFERROR(VLOOKUP(I345,Vstack!$A$2:$L$1000,{8},0),""))</f>
        <v/>
      </c>
      <c r="K345" s="224" t="str" cm="1">
        <f t="array" ref="K345">IF(I345="No-Retrofit",F345,IFERROR(VLOOKUP(I345,Vstack!$A$2:$L$1000,{9},0)*N345,""))</f>
        <v/>
      </c>
      <c r="L345" s="193" t="str" cm="1">
        <f t="array" ref="L345">IF(I345="No-Retrofit",F345,IFERROR(VLOOKUP(I345,Vstack!$A$2:$L$1000,{10,4},0),""))</f>
        <v/>
      </c>
      <c r="M345" s="193"/>
      <c r="N345" s="121"/>
      <c r="O345" s="193" t="str">
        <f t="shared" si="22"/>
        <v/>
      </c>
      <c r="P345" s="195" t="str">
        <f t="shared" si="23"/>
        <v/>
      </c>
      <c r="Q345" s="246"/>
      <c r="R345" s="229"/>
      <c r="S345" s="245"/>
      <c r="T345" s="229"/>
      <c r="U345" s="196">
        <v>344</v>
      </c>
    </row>
    <row r="346" spans="1:21" ht="15" customHeight="1">
      <c r="A346" s="190" t="str">
        <f t="shared" si="20"/>
        <v>345- -W</v>
      </c>
      <c r="B346" s="123"/>
      <c r="C346" s="125"/>
      <c r="D346" s="190" t="str" cm="1">
        <f t="array" ref="D346">IFERROR(VLOOKUP(C346,Old_Model_Registry!$B$2:$K$500,{3,10,8,9},0),"")</f>
        <v/>
      </c>
      <c r="E346" s="190"/>
      <c r="F346" s="190"/>
      <c r="G346" s="191"/>
      <c r="H346" s="192">
        <f t="shared" si="21"/>
        <v>0</v>
      </c>
      <c r="I346" s="121"/>
      <c r="J346" s="193" t="str" cm="1">
        <f t="array" ref="J346">IF(I346="No-Retrofit",F346,IFERROR(VLOOKUP(I346,Vstack!$A$2:$L$1000,{8},0),""))</f>
        <v/>
      </c>
      <c r="K346" s="224" t="str" cm="1">
        <f t="array" ref="K346">IF(I346="No-Retrofit",F346,IFERROR(VLOOKUP(I346,Vstack!$A$2:$L$1000,{9},0)*N346,""))</f>
        <v/>
      </c>
      <c r="L346" s="193" t="str" cm="1">
        <f t="array" ref="L346">IF(I346="No-Retrofit",F346,IFERROR(VLOOKUP(I346,Vstack!$A$2:$L$1000,{10,4},0),""))</f>
        <v/>
      </c>
      <c r="M346" s="193"/>
      <c r="N346" s="121"/>
      <c r="O346" s="193" t="str">
        <f t="shared" si="22"/>
        <v/>
      </c>
      <c r="P346" s="195" t="str">
        <f t="shared" si="23"/>
        <v/>
      </c>
      <c r="Q346" s="246"/>
      <c r="R346" s="229"/>
      <c r="S346" s="245"/>
      <c r="T346" s="229"/>
      <c r="U346" s="196">
        <v>345</v>
      </c>
    </row>
    <row r="347" spans="1:21" ht="15" customHeight="1">
      <c r="A347" s="190" t="str">
        <f t="shared" si="20"/>
        <v>346- -W</v>
      </c>
      <c r="B347" s="123"/>
      <c r="C347" s="125"/>
      <c r="D347" s="190" t="str" cm="1">
        <f t="array" ref="D347">IFERROR(VLOOKUP(C347,Old_Model_Registry!$B$2:$K$500,{3,10,8,9},0),"")</f>
        <v/>
      </c>
      <c r="E347" s="190"/>
      <c r="F347" s="190"/>
      <c r="G347" s="191"/>
      <c r="H347" s="192">
        <f t="shared" si="21"/>
        <v>0</v>
      </c>
      <c r="I347" s="121"/>
      <c r="J347" s="193" t="str" cm="1">
        <f t="array" ref="J347">IF(I347="No-Retrofit",F347,IFERROR(VLOOKUP(I347,Vstack!$A$2:$L$1000,{8},0),""))</f>
        <v/>
      </c>
      <c r="K347" s="224" t="str" cm="1">
        <f t="array" ref="K347">IF(I347="No-Retrofit",F347,IFERROR(VLOOKUP(I347,Vstack!$A$2:$L$1000,{9},0)*N347,""))</f>
        <v/>
      </c>
      <c r="L347" s="193" t="str" cm="1">
        <f t="array" ref="L347">IF(I347="No-Retrofit",F347,IFERROR(VLOOKUP(I347,Vstack!$A$2:$L$1000,{10,4},0),""))</f>
        <v/>
      </c>
      <c r="M347" s="193"/>
      <c r="N347" s="121"/>
      <c r="O347" s="193" t="str">
        <f t="shared" si="22"/>
        <v/>
      </c>
      <c r="P347" s="195" t="str">
        <f t="shared" si="23"/>
        <v/>
      </c>
      <c r="Q347" s="246"/>
      <c r="R347" s="229"/>
      <c r="S347" s="245"/>
      <c r="T347" s="229"/>
      <c r="U347" s="196">
        <v>346</v>
      </c>
    </row>
    <row r="348" spans="1:21" ht="15" customHeight="1">
      <c r="A348" s="190" t="str">
        <f t="shared" si="20"/>
        <v>347- -W</v>
      </c>
      <c r="B348" s="123"/>
      <c r="C348" s="125"/>
      <c r="D348" s="190" t="str" cm="1">
        <f t="array" ref="D348">IFERROR(VLOOKUP(C348,Old_Model_Registry!$B$2:$K$500,{3,10,8,9},0),"")</f>
        <v/>
      </c>
      <c r="E348" s="190"/>
      <c r="F348" s="190"/>
      <c r="G348" s="191"/>
      <c r="H348" s="192">
        <f t="shared" si="21"/>
        <v>0</v>
      </c>
      <c r="I348" s="121"/>
      <c r="J348" s="193" t="str" cm="1">
        <f t="array" ref="J348">IF(I348="No-Retrofit",F348,IFERROR(VLOOKUP(I348,Vstack!$A$2:$L$1000,{8},0),""))</f>
        <v/>
      </c>
      <c r="K348" s="224" t="str" cm="1">
        <f t="array" ref="K348">IF(I348="No-Retrofit",F348,IFERROR(VLOOKUP(I348,Vstack!$A$2:$L$1000,{9},0)*N348,""))</f>
        <v/>
      </c>
      <c r="L348" s="193" t="str" cm="1">
        <f t="array" ref="L348">IF(I348="No-Retrofit",F348,IFERROR(VLOOKUP(I348,Vstack!$A$2:$L$1000,{10,4},0),""))</f>
        <v/>
      </c>
      <c r="M348" s="193"/>
      <c r="N348" s="121"/>
      <c r="O348" s="193" t="str">
        <f t="shared" si="22"/>
        <v/>
      </c>
      <c r="P348" s="195" t="str">
        <f t="shared" si="23"/>
        <v/>
      </c>
      <c r="Q348" s="246"/>
      <c r="R348" s="229"/>
      <c r="S348" s="231"/>
      <c r="T348" s="229"/>
      <c r="U348" s="196">
        <v>347</v>
      </c>
    </row>
    <row r="349" spans="1:21" ht="15" customHeight="1">
      <c r="A349" s="190" t="str">
        <f t="shared" si="20"/>
        <v>348- -W</v>
      </c>
      <c r="B349" s="123"/>
      <c r="C349" s="125"/>
      <c r="D349" s="190" t="str" cm="1">
        <f t="array" ref="D349">IFERROR(VLOOKUP(C349,Old_Model_Registry!$B$2:$K$500,{3,10,8,9},0),"")</f>
        <v/>
      </c>
      <c r="E349" s="190"/>
      <c r="F349" s="190"/>
      <c r="G349" s="191"/>
      <c r="H349" s="192">
        <f t="shared" si="21"/>
        <v>0</v>
      </c>
      <c r="I349" s="121"/>
      <c r="J349" s="193" t="str" cm="1">
        <f t="array" ref="J349">IF(I349="No-Retrofit",F349,IFERROR(VLOOKUP(I349,Vstack!$A$2:$L$1000,{8},0),""))</f>
        <v/>
      </c>
      <c r="K349" s="224" t="str" cm="1">
        <f t="array" ref="K349">IF(I349="No-Retrofit",F349,IFERROR(VLOOKUP(I349,Vstack!$A$2:$L$1000,{9},0)*N349,""))</f>
        <v/>
      </c>
      <c r="L349" s="193" t="str" cm="1">
        <f t="array" ref="L349">IF(I349="No-Retrofit",F349,IFERROR(VLOOKUP(I349,Vstack!$A$2:$L$1000,{10,4},0),""))</f>
        <v/>
      </c>
      <c r="M349" s="193"/>
      <c r="N349" s="121"/>
      <c r="O349" s="193" t="str">
        <f t="shared" si="22"/>
        <v/>
      </c>
      <c r="P349" s="195" t="str">
        <f t="shared" si="23"/>
        <v/>
      </c>
      <c r="Q349" s="246"/>
      <c r="R349" s="229"/>
      <c r="S349" s="245"/>
      <c r="T349" s="229"/>
      <c r="U349" s="196">
        <v>348</v>
      </c>
    </row>
    <row r="350" spans="1:21" ht="15" customHeight="1">
      <c r="A350" s="190" t="str">
        <f t="shared" si="20"/>
        <v>349- -W</v>
      </c>
      <c r="B350" s="123"/>
      <c r="C350" s="125"/>
      <c r="D350" s="190" t="str" cm="1">
        <f t="array" ref="D350">IFERROR(VLOOKUP(C350,Old_Model_Registry!$B$2:$K$500,{3,10,8,9},0),"")</f>
        <v/>
      </c>
      <c r="E350" s="190"/>
      <c r="F350" s="190"/>
      <c r="G350" s="191"/>
      <c r="H350" s="192">
        <f t="shared" si="21"/>
        <v>0</v>
      </c>
      <c r="I350" s="121"/>
      <c r="J350" s="193" t="str" cm="1">
        <f t="array" ref="J350">IF(I350="No-Retrofit",F350,IFERROR(VLOOKUP(I350,Vstack!$A$2:$L$1000,{8},0),""))</f>
        <v/>
      </c>
      <c r="K350" s="224" t="str" cm="1">
        <f t="array" ref="K350">IF(I350="No-Retrofit",F350,IFERROR(VLOOKUP(I350,Vstack!$A$2:$L$1000,{9},0)*N350,""))</f>
        <v/>
      </c>
      <c r="L350" s="193" t="str" cm="1">
        <f t="array" ref="L350">IF(I350="No-Retrofit",F350,IFERROR(VLOOKUP(I350,Vstack!$A$2:$L$1000,{10,4},0),""))</f>
        <v/>
      </c>
      <c r="M350" s="193"/>
      <c r="N350" s="121"/>
      <c r="O350" s="193" t="str">
        <f t="shared" si="22"/>
        <v/>
      </c>
      <c r="P350" s="195" t="str">
        <f t="shared" si="23"/>
        <v/>
      </c>
      <c r="Q350" s="246"/>
      <c r="R350" s="229"/>
      <c r="S350" s="245"/>
      <c r="T350" s="229"/>
      <c r="U350" s="196">
        <v>349</v>
      </c>
    </row>
    <row r="351" spans="1:21" ht="15" customHeight="1">
      <c r="A351" s="190" t="str">
        <f t="shared" si="20"/>
        <v>350- -W</v>
      </c>
      <c r="B351" s="123"/>
      <c r="C351" s="125"/>
      <c r="D351" s="190" t="str" cm="1">
        <f t="array" ref="D351">IFERROR(VLOOKUP(C351,Old_Model_Registry!$B$2:$K$500,{3,10,8,9},0),"")</f>
        <v/>
      </c>
      <c r="E351" s="190"/>
      <c r="F351" s="190"/>
      <c r="G351" s="191"/>
      <c r="H351" s="192">
        <f t="shared" si="21"/>
        <v>0</v>
      </c>
      <c r="I351" s="121"/>
      <c r="J351" s="193" t="str" cm="1">
        <f t="array" ref="J351">IF(I351="No-Retrofit",F351,IFERROR(VLOOKUP(I351,Vstack!$A$2:$L$1000,{8},0),""))</f>
        <v/>
      </c>
      <c r="K351" s="224" t="str" cm="1">
        <f t="array" ref="K351">IF(I351="No-Retrofit",F351,IFERROR(VLOOKUP(I351,Vstack!$A$2:$L$1000,{9},0)*N351,""))</f>
        <v/>
      </c>
      <c r="L351" s="193" t="str" cm="1">
        <f t="array" ref="L351">IF(I351="No-Retrofit",F351,IFERROR(VLOOKUP(I351,Vstack!$A$2:$L$1000,{10,4},0),""))</f>
        <v/>
      </c>
      <c r="M351" s="193"/>
      <c r="N351" s="121"/>
      <c r="O351" s="193" t="str">
        <f t="shared" si="22"/>
        <v/>
      </c>
      <c r="P351" s="195" t="str">
        <f t="shared" si="23"/>
        <v/>
      </c>
      <c r="Q351" s="246"/>
      <c r="R351" s="229"/>
      <c r="S351" s="245"/>
      <c r="T351" s="229"/>
      <c r="U351" s="196">
        <v>350</v>
      </c>
    </row>
    <row r="352" spans="1:21" ht="15" customHeight="1">
      <c r="A352" s="190" t="str">
        <f t="shared" si="20"/>
        <v>351- -W</v>
      </c>
      <c r="B352" s="123"/>
      <c r="C352" s="125"/>
      <c r="D352" s="190" t="str" cm="1">
        <f t="array" ref="D352">IFERROR(VLOOKUP(C352,Old_Model_Registry!$B$2:$K$500,{3,10,8,9},0),"")</f>
        <v/>
      </c>
      <c r="E352" s="190"/>
      <c r="F352" s="190"/>
      <c r="G352" s="191"/>
      <c r="H352" s="192">
        <f t="shared" si="21"/>
        <v>0</v>
      </c>
      <c r="I352" s="121"/>
      <c r="J352" s="193" t="str" cm="1">
        <f t="array" ref="J352">IF(I352="No-Retrofit",F352,IFERROR(VLOOKUP(I352,Vstack!$A$2:$L$1000,{8},0),""))</f>
        <v/>
      </c>
      <c r="K352" s="224" t="str" cm="1">
        <f t="array" ref="K352">IF(I352="No-Retrofit",F352,IFERROR(VLOOKUP(I352,Vstack!$A$2:$L$1000,{9},0)*N352,""))</f>
        <v/>
      </c>
      <c r="L352" s="193" t="str" cm="1">
        <f t="array" ref="L352">IF(I352="No-Retrofit",F352,IFERROR(VLOOKUP(I352,Vstack!$A$2:$L$1000,{10,4},0),""))</f>
        <v/>
      </c>
      <c r="M352" s="193"/>
      <c r="N352" s="121"/>
      <c r="O352" s="193" t="str">
        <f t="shared" si="22"/>
        <v/>
      </c>
      <c r="P352" s="195" t="str">
        <f t="shared" si="23"/>
        <v/>
      </c>
      <c r="Q352" s="246"/>
      <c r="R352" s="229"/>
      <c r="S352" s="245"/>
      <c r="T352" s="229"/>
      <c r="U352" s="196">
        <v>351</v>
      </c>
    </row>
    <row r="353" spans="1:21" ht="15" customHeight="1">
      <c r="A353" s="190" t="str">
        <f t="shared" si="20"/>
        <v>352- -W</v>
      </c>
      <c r="B353" s="123"/>
      <c r="C353" s="125"/>
      <c r="D353" s="190" t="str" cm="1">
        <f t="array" ref="D353">IFERROR(VLOOKUP(C353,Old_Model_Registry!$B$2:$K$500,{3,10,8,9},0),"")</f>
        <v/>
      </c>
      <c r="E353" s="190"/>
      <c r="F353" s="190"/>
      <c r="G353" s="191"/>
      <c r="H353" s="192">
        <f t="shared" si="21"/>
        <v>0</v>
      </c>
      <c r="I353" s="121"/>
      <c r="J353" s="193" t="str" cm="1">
        <f t="array" ref="J353">IF(I353="No-Retrofit",F353,IFERROR(VLOOKUP(I353,Vstack!$A$2:$L$1000,{8},0),""))</f>
        <v/>
      </c>
      <c r="K353" s="224" t="str" cm="1">
        <f t="array" ref="K353">IF(I353="No-Retrofit",F353,IFERROR(VLOOKUP(I353,Vstack!$A$2:$L$1000,{9},0)*N353,""))</f>
        <v/>
      </c>
      <c r="L353" s="193" t="str" cm="1">
        <f t="array" ref="L353">IF(I353="No-Retrofit",F353,IFERROR(VLOOKUP(I353,Vstack!$A$2:$L$1000,{10,4},0),""))</f>
        <v/>
      </c>
      <c r="M353" s="193"/>
      <c r="N353" s="121"/>
      <c r="O353" s="193" t="str">
        <f t="shared" si="22"/>
        <v/>
      </c>
      <c r="P353" s="195" t="str">
        <f t="shared" si="23"/>
        <v/>
      </c>
      <c r="Q353" s="246"/>
      <c r="R353" s="229"/>
      <c r="S353" s="231"/>
      <c r="T353" s="229"/>
      <c r="U353" s="196">
        <v>352</v>
      </c>
    </row>
    <row r="354" spans="1:21" ht="15" customHeight="1">
      <c r="A354" s="190" t="str">
        <f t="shared" si="20"/>
        <v>353- -W</v>
      </c>
      <c r="B354" s="123"/>
      <c r="C354" s="125"/>
      <c r="D354" s="190" t="str" cm="1">
        <f t="array" ref="D354">IFERROR(VLOOKUP(C354,Old_Model_Registry!$B$2:$K$500,{3,10,8,9},0),"")</f>
        <v/>
      </c>
      <c r="E354" s="190"/>
      <c r="F354" s="190"/>
      <c r="G354" s="191"/>
      <c r="H354" s="192">
        <f t="shared" si="21"/>
        <v>0</v>
      </c>
      <c r="I354" s="121"/>
      <c r="J354" s="193" t="str" cm="1">
        <f t="array" ref="J354">IF(I354="No-Retrofit",F354,IFERROR(VLOOKUP(I354,Vstack!$A$2:$L$1000,{8},0),""))</f>
        <v/>
      </c>
      <c r="K354" s="224" t="str" cm="1">
        <f t="array" ref="K354">IF(I354="No-Retrofit",F354,IFERROR(VLOOKUP(I354,Vstack!$A$2:$L$1000,{9},0)*N354,""))</f>
        <v/>
      </c>
      <c r="L354" s="193" t="str" cm="1">
        <f t="array" ref="L354">IF(I354="No-Retrofit",F354,IFERROR(VLOOKUP(I354,Vstack!$A$2:$L$1000,{10,4},0),""))</f>
        <v/>
      </c>
      <c r="M354" s="193"/>
      <c r="N354" s="121"/>
      <c r="O354" s="193" t="str">
        <f t="shared" si="22"/>
        <v/>
      </c>
      <c r="P354" s="195" t="str">
        <f t="shared" si="23"/>
        <v/>
      </c>
      <c r="Q354" s="246"/>
      <c r="R354" s="229"/>
      <c r="S354" s="245"/>
      <c r="T354" s="229"/>
      <c r="U354" s="196">
        <v>353</v>
      </c>
    </row>
    <row r="355" spans="1:21" ht="15" customHeight="1">
      <c r="A355" s="190" t="str">
        <f t="shared" si="20"/>
        <v>354- -W</v>
      </c>
      <c r="B355" s="123"/>
      <c r="C355" s="125"/>
      <c r="D355" s="190" t="str" cm="1">
        <f t="array" ref="D355">IFERROR(VLOOKUP(C355,Old_Model_Registry!$B$2:$K$500,{3,10,8,9},0),"")</f>
        <v/>
      </c>
      <c r="E355" s="190"/>
      <c r="F355" s="190"/>
      <c r="G355" s="191"/>
      <c r="H355" s="192">
        <f t="shared" si="21"/>
        <v>0</v>
      </c>
      <c r="I355" s="121"/>
      <c r="J355" s="193" t="str" cm="1">
        <f t="array" ref="J355">IF(I355="No-Retrofit",F355,IFERROR(VLOOKUP(I355,Vstack!$A$2:$L$1000,{8},0),""))</f>
        <v/>
      </c>
      <c r="K355" s="224" t="str" cm="1">
        <f t="array" ref="K355">IF(I355="No-Retrofit",F355,IFERROR(VLOOKUP(I355,Vstack!$A$2:$L$1000,{9},0)*N355,""))</f>
        <v/>
      </c>
      <c r="L355" s="193" t="str" cm="1">
        <f t="array" ref="L355">IF(I355="No-Retrofit",F355,IFERROR(VLOOKUP(I355,Vstack!$A$2:$L$1000,{10,4},0),""))</f>
        <v/>
      </c>
      <c r="M355" s="193"/>
      <c r="N355" s="121"/>
      <c r="O355" s="193" t="str">
        <f t="shared" si="22"/>
        <v/>
      </c>
      <c r="P355" s="195" t="str">
        <f t="shared" si="23"/>
        <v/>
      </c>
      <c r="Q355" s="246"/>
      <c r="R355" s="229"/>
      <c r="S355" s="245"/>
      <c r="T355" s="229"/>
      <c r="U355" s="196">
        <v>354</v>
      </c>
    </row>
    <row r="356" spans="1:21" ht="15" customHeight="1">
      <c r="A356" s="190" t="str">
        <f t="shared" si="20"/>
        <v>355- -W</v>
      </c>
      <c r="B356" s="123"/>
      <c r="C356" s="125"/>
      <c r="D356" s="190" t="str" cm="1">
        <f t="array" ref="D356">IFERROR(VLOOKUP(C356,Old_Model_Registry!$B$2:$K$500,{3,10,8,9},0),"")</f>
        <v/>
      </c>
      <c r="E356" s="190"/>
      <c r="F356" s="190"/>
      <c r="G356" s="191"/>
      <c r="H356" s="192">
        <f t="shared" si="21"/>
        <v>0</v>
      </c>
      <c r="I356" s="121"/>
      <c r="J356" s="193" t="str" cm="1">
        <f t="array" ref="J356">IF(I356="No-Retrofit",F356,IFERROR(VLOOKUP(I356,Vstack!$A$2:$L$1000,{8},0),""))</f>
        <v/>
      </c>
      <c r="K356" s="224" t="str" cm="1">
        <f t="array" ref="K356">IF(I356="No-Retrofit",F356,IFERROR(VLOOKUP(I356,Vstack!$A$2:$L$1000,{9},0)*N356,""))</f>
        <v/>
      </c>
      <c r="L356" s="193" t="str" cm="1">
        <f t="array" ref="L356">IF(I356="No-Retrofit",F356,IFERROR(VLOOKUP(I356,Vstack!$A$2:$L$1000,{10,4},0),""))</f>
        <v/>
      </c>
      <c r="M356" s="193"/>
      <c r="N356" s="121"/>
      <c r="O356" s="193" t="str">
        <f t="shared" si="22"/>
        <v/>
      </c>
      <c r="P356" s="195" t="str">
        <f t="shared" si="23"/>
        <v/>
      </c>
      <c r="Q356" s="246"/>
      <c r="R356" s="229"/>
      <c r="S356" s="245"/>
      <c r="T356" s="229"/>
      <c r="U356" s="196">
        <v>355</v>
      </c>
    </row>
    <row r="357" spans="1:21" ht="15" customHeight="1">
      <c r="A357" s="190" t="str">
        <f t="shared" si="20"/>
        <v>356- -W</v>
      </c>
      <c r="B357" s="123"/>
      <c r="C357" s="125"/>
      <c r="D357" s="190" t="str" cm="1">
        <f t="array" ref="D357">IFERROR(VLOOKUP(C357,Old_Model_Registry!$B$2:$K$500,{3,10,8,9},0),"")</f>
        <v/>
      </c>
      <c r="E357" s="190"/>
      <c r="F357" s="190"/>
      <c r="G357" s="191"/>
      <c r="H357" s="192">
        <f t="shared" si="21"/>
        <v>0</v>
      </c>
      <c r="I357" s="121"/>
      <c r="J357" s="193" t="str" cm="1">
        <f t="array" ref="J357">IF(I357="No-Retrofit",F357,IFERROR(VLOOKUP(I357,Vstack!$A$2:$L$1000,{8},0),""))</f>
        <v/>
      </c>
      <c r="K357" s="224" t="str" cm="1">
        <f t="array" ref="K357">IF(I357="No-Retrofit",F357,IFERROR(VLOOKUP(I357,Vstack!$A$2:$L$1000,{9},0)*N357,""))</f>
        <v/>
      </c>
      <c r="L357" s="193" t="str" cm="1">
        <f t="array" ref="L357">IF(I357="No-Retrofit",F357,IFERROR(VLOOKUP(I357,Vstack!$A$2:$L$1000,{10,4},0),""))</f>
        <v/>
      </c>
      <c r="M357" s="193"/>
      <c r="N357" s="121"/>
      <c r="O357" s="193" t="str">
        <f t="shared" si="22"/>
        <v/>
      </c>
      <c r="P357" s="195" t="str">
        <f t="shared" si="23"/>
        <v/>
      </c>
      <c r="Q357" s="246"/>
      <c r="R357" s="229"/>
      <c r="S357" s="245"/>
      <c r="T357" s="229"/>
      <c r="U357" s="196">
        <v>356</v>
      </c>
    </row>
    <row r="358" spans="1:21" ht="15" customHeight="1">
      <c r="A358" s="190" t="str">
        <f t="shared" si="20"/>
        <v>357- -W</v>
      </c>
      <c r="B358" s="123"/>
      <c r="C358" s="125"/>
      <c r="D358" s="190" t="str" cm="1">
        <f t="array" ref="D358">IFERROR(VLOOKUP(C358,Old_Model_Registry!$B$2:$K$500,{3,10,8,9},0),"")</f>
        <v/>
      </c>
      <c r="E358" s="190"/>
      <c r="F358" s="190"/>
      <c r="G358" s="191"/>
      <c r="H358" s="192">
        <f t="shared" si="21"/>
        <v>0</v>
      </c>
      <c r="I358" s="121"/>
      <c r="J358" s="193" t="str" cm="1">
        <f t="array" ref="J358">IF(I358="No-Retrofit",F358,IFERROR(VLOOKUP(I358,Vstack!$A$2:$L$1000,{8},0),""))</f>
        <v/>
      </c>
      <c r="K358" s="224" t="str" cm="1">
        <f t="array" ref="K358">IF(I358="No-Retrofit",F358,IFERROR(VLOOKUP(I358,Vstack!$A$2:$L$1000,{9},0)*N358,""))</f>
        <v/>
      </c>
      <c r="L358" s="193" t="str" cm="1">
        <f t="array" ref="L358">IF(I358="No-Retrofit",F358,IFERROR(VLOOKUP(I358,Vstack!$A$2:$L$1000,{10,4},0),""))</f>
        <v/>
      </c>
      <c r="M358" s="193"/>
      <c r="N358" s="121"/>
      <c r="O358" s="193" t="str">
        <f t="shared" si="22"/>
        <v/>
      </c>
      <c r="P358" s="195" t="str">
        <f t="shared" si="23"/>
        <v/>
      </c>
      <c r="Q358" s="246"/>
      <c r="R358" s="229"/>
      <c r="S358" s="245"/>
      <c r="T358" s="229"/>
      <c r="U358" s="196">
        <v>357</v>
      </c>
    </row>
    <row r="359" spans="1:21" ht="15" customHeight="1">
      <c r="A359" s="190" t="str">
        <f t="shared" si="20"/>
        <v>358- -W</v>
      </c>
      <c r="B359" s="123"/>
      <c r="C359" s="125"/>
      <c r="D359" s="190" t="str" cm="1">
        <f t="array" ref="D359">IFERROR(VLOOKUP(C359,Old_Model_Registry!$B$2:$K$500,{3,10,8,9},0),"")</f>
        <v/>
      </c>
      <c r="E359" s="190"/>
      <c r="F359" s="190"/>
      <c r="G359" s="191"/>
      <c r="H359" s="192">
        <f t="shared" si="21"/>
        <v>0</v>
      </c>
      <c r="I359" s="121"/>
      <c r="J359" s="193" t="str" cm="1">
        <f t="array" ref="J359">IF(I359="No-Retrofit",F359,IFERROR(VLOOKUP(I359,Vstack!$A$2:$L$1000,{8},0),""))</f>
        <v/>
      </c>
      <c r="K359" s="224" t="str" cm="1">
        <f t="array" ref="K359">IF(I359="No-Retrofit",F359,IFERROR(VLOOKUP(I359,Vstack!$A$2:$L$1000,{9},0)*N359,""))</f>
        <v/>
      </c>
      <c r="L359" s="193" t="str" cm="1">
        <f t="array" ref="L359">IF(I359="No-Retrofit",F359,IFERROR(VLOOKUP(I359,Vstack!$A$2:$L$1000,{10,4},0),""))</f>
        <v/>
      </c>
      <c r="M359" s="193"/>
      <c r="N359" s="121"/>
      <c r="O359" s="193" t="str">
        <f t="shared" si="22"/>
        <v/>
      </c>
      <c r="P359" s="195" t="str">
        <f t="shared" si="23"/>
        <v/>
      </c>
      <c r="Q359" s="246"/>
      <c r="R359" s="229"/>
      <c r="S359" s="245"/>
      <c r="T359" s="229"/>
      <c r="U359" s="196">
        <v>358</v>
      </c>
    </row>
    <row r="360" spans="1:21" ht="15" customHeight="1">
      <c r="A360" s="190" t="str">
        <f t="shared" si="20"/>
        <v>359- -W</v>
      </c>
      <c r="B360" s="123"/>
      <c r="C360" s="125"/>
      <c r="D360" s="190" t="str" cm="1">
        <f t="array" ref="D360">IFERROR(VLOOKUP(C360,Old_Model_Registry!$B$2:$K$500,{3,10,8,9},0),"")</f>
        <v/>
      </c>
      <c r="E360" s="190"/>
      <c r="F360" s="190"/>
      <c r="G360" s="191"/>
      <c r="H360" s="192">
        <f t="shared" si="21"/>
        <v>0</v>
      </c>
      <c r="I360" s="121"/>
      <c r="J360" s="193" t="str" cm="1">
        <f t="array" ref="J360">IF(I360="No-Retrofit",F360,IFERROR(VLOOKUP(I360,Vstack!$A$2:$L$1000,{8},0),""))</f>
        <v/>
      </c>
      <c r="K360" s="224" t="str" cm="1">
        <f t="array" ref="K360">IF(I360="No-Retrofit",F360,IFERROR(VLOOKUP(I360,Vstack!$A$2:$L$1000,{9},0)*N360,""))</f>
        <v/>
      </c>
      <c r="L360" s="193" t="str" cm="1">
        <f t="array" ref="L360">IF(I360="No-Retrofit",F360,IFERROR(VLOOKUP(I360,Vstack!$A$2:$L$1000,{10,4},0),""))</f>
        <v/>
      </c>
      <c r="M360" s="193"/>
      <c r="N360" s="121"/>
      <c r="O360" s="193" t="str">
        <f t="shared" si="22"/>
        <v/>
      </c>
      <c r="P360" s="195" t="str">
        <f t="shared" si="23"/>
        <v/>
      </c>
      <c r="Q360" s="246"/>
      <c r="R360" s="229"/>
      <c r="S360" s="245"/>
      <c r="T360" s="229"/>
      <c r="U360" s="196">
        <v>359</v>
      </c>
    </row>
    <row r="361" spans="1:21" ht="15" customHeight="1">
      <c r="A361" s="190" t="str">
        <f t="shared" si="20"/>
        <v>360- -W</v>
      </c>
      <c r="B361" s="123"/>
      <c r="C361" s="125"/>
      <c r="D361" s="190" t="str" cm="1">
        <f t="array" ref="D361">IFERROR(VLOOKUP(C361,Old_Model_Registry!$B$2:$K$500,{3,10,8,9},0),"")</f>
        <v/>
      </c>
      <c r="E361" s="190"/>
      <c r="F361" s="190"/>
      <c r="G361" s="191"/>
      <c r="H361" s="192">
        <f t="shared" si="21"/>
        <v>0</v>
      </c>
      <c r="I361" s="121"/>
      <c r="J361" s="193" t="str" cm="1">
        <f t="array" ref="J361">IF(I361="No-Retrofit",F361,IFERROR(VLOOKUP(I361,Vstack!$A$2:$L$1000,{8},0),""))</f>
        <v/>
      </c>
      <c r="K361" s="224" t="str" cm="1">
        <f t="array" ref="K361">IF(I361="No-Retrofit",F361,IFERROR(VLOOKUP(I361,Vstack!$A$2:$L$1000,{9},0)*N361,""))</f>
        <v/>
      </c>
      <c r="L361" s="193" t="str" cm="1">
        <f t="array" ref="L361">IF(I361="No-Retrofit",F361,IFERROR(VLOOKUP(I361,Vstack!$A$2:$L$1000,{10,4},0),""))</f>
        <v/>
      </c>
      <c r="M361" s="193"/>
      <c r="N361" s="121"/>
      <c r="O361" s="193" t="str">
        <f t="shared" si="22"/>
        <v/>
      </c>
      <c r="P361" s="195" t="str">
        <f t="shared" si="23"/>
        <v/>
      </c>
      <c r="Q361" s="246"/>
      <c r="R361" s="229"/>
      <c r="S361" s="231"/>
      <c r="T361" s="229"/>
      <c r="U361" s="196">
        <v>360</v>
      </c>
    </row>
    <row r="362" spans="1:21" ht="15" customHeight="1">
      <c r="A362" s="190" t="str">
        <f t="shared" si="20"/>
        <v>361- -W</v>
      </c>
      <c r="B362" s="123"/>
      <c r="C362" s="125"/>
      <c r="D362" s="190" t="str" cm="1">
        <f t="array" ref="D362">IFERROR(VLOOKUP(C362,Old_Model_Registry!$B$2:$K$500,{3,10,8,9},0),"")</f>
        <v/>
      </c>
      <c r="E362" s="190"/>
      <c r="F362" s="190"/>
      <c r="G362" s="191"/>
      <c r="H362" s="192">
        <f t="shared" si="21"/>
        <v>0</v>
      </c>
      <c r="I362" s="121"/>
      <c r="J362" s="193" t="str" cm="1">
        <f t="array" ref="J362">IF(I362="No-Retrofit",F362,IFERROR(VLOOKUP(I362,Vstack!$A$2:$L$1000,{8},0),""))</f>
        <v/>
      </c>
      <c r="K362" s="224" t="str" cm="1">
        <f t="array" ref="K362">IF(I362="No-Retrofit",F362,IFERROR(VLOOKUP(I362,Vstack!$A$2:$L$1000,{9},0)*N362,""))</f>
        <v/>
      </c>
      <c r="L362" s="193" t="str" cm="1">
        <f t="array" ref="L362">IF(I362="No-Retrofit",F362,IFERROR(VLOOKUP(I362,Vstack!$A$2:$L$1000,{10,4},0),""))</f>
        <v/>
      </c>
      <c r="M362" s="193"/>
      <c r="N362" s="121"/>
      <c r="O362" s="193" t="str">
        <f t="shared" si="22"/>
        <v/>
      </c>
      <c r="P362" s="195" t="str">
        <f t="shared" si="23"/>
        <v/>
      </c>
      <c r="Q362" s="246"/>
      <c r="R362" s="229"/>
      <c r="S362" s="245"/>
      <c r="T362" s="229"/>
      <c r="U362" s="196">
        <v>361</v>
      </c>
    </row>
    <row r="363" spans="1:21" ht="15" customHeight="1">
      <c r="A363" s="190" t="str">
        <f t="shared" si="20"/>
        <v>362- -W</v>
      </c>
      <c r="B363" s="123"/>
      <c r="C363" s="125"/>
      <c r="D363" s="190" t="str" cm="1">
        <f t="array" ref="D363">IFERROR(VLOOKUP(C363,Old_Model_Registry!$B$2:$K$500,{3,10,8,9},0),"")</f>
        <v/>
      </c>
      <c r="E363" s="190"/>
      <c r="F363" s="190"/>
      <c r="G363" s="191"/>
      <c r="H363" s="192">
        <f t="shared" si="21"/>
        <v>0</v>
      </c>
      <c r="I363" s="121"/>
      <c r="J363" s="193" t="str" cm="1">
        <f t="array" ref="J363">IF(I363="No-Retrofit",F363,IFERROR(VLOOKUP(I363,Vstack!$A$2:$L$1000,{8},0),""))</f>
        <v/>
      </c>
      <c r="K363" s="224" t="str" cm="1">
        <f t="array" ref="K363">IF(I363="No-Retrofit",F363,IFERROR(VLOOKUP(I363,Vstack!$A$2:$L$1000,{9},0)*N363,""))</f>
        <v/>
      </c>
      <c r="L363" s="193" t="str" cm="1">
        <f t="array" ref="L363">IF(I363="No-Retrofit",F363,IFERROR(VLOOKUP(I363,Vstack!$A$2:$L$1000,{10,4},0),""))</f>
        <v/>
      </c>
      <c r="M363" s="193"/>
      <c r="N363" s="121"/>
      <c r="O363" s="193" t="str">
        <f t="shared" si="22"/>
        <v/>
      </c>
      <c r="P363" s="195" t="str">
        <f t="shared" si="23"/>
        <v/>
      </c>
      <c r="Q363" s="246"/>
      <c r="R363" s="229"/>
      <c r="S363" s="245"/>
      <c r="T363" s="229"/>
      <c r="U363" s="196">
        <v>362</v>
      </c>
    </row>
    <row r="364" spans="1:21" ht="15" customHeight="1">
      <c r="A364" s="190" t="str">
        <f t="shared" si="20"/>
        <v>363- -W</v>
      </c>
      <c r="B364" s="123"/>
      <c r="C364" s="125"/>
      <c r="D364" s="190" t="str" cm="1">
        <f t="array" ref="D364">IFERROR(VLOOKUP(C364,Old_Model_Registry!$B$2:$K$500,{3,10,8,9},0),"")</f>
        <v/>
      </c>
      <c r="E364" s="190"/>
      <c r="F364" s="190"/>
      <c r="G364" s="191"/>
      <c r="H364" s="192">
        <f t="shared" si="21"/>
        <v>0</v>
      </c>
      <c r="I364" s="121"/>
      <c r="J364" s="193" t="str" cm="1">
        <f t="array" ref="J364">IF(I364="No-Retrofit",F364,IFERROR(VLOOKUP(I364,Vstack!$A$2:$L$1000,{8},0),""))</f>
        <v/>
      </c>
      <c r="K364" s="224" t="str" cm="1">
        <f t="array" ref="K364">IF(I364="No-Retrofit",F364,IFERROR(VLOOKUP(I364,Vstack!$A$2:$L$1000,{9},0)*N364,""))</f>
        <v/>
      </c>
      <c r="L364" s="193" t="str" cm="1">
        <f t="array" ref="L364">IF(I364="No-Retrofit",F364,IFERROR(VLOOKUP(I364,Vstack!$A$2:$L$1000,{10,4},0),""))</f>
        <v/>
      </c>
      <c r="M364" s="193"/>
      <c r="N364" s="121"/>
      <c r="O364" s="193" t="str">
        <f t="shared" si="22"/>
        <v/>
      </c>
      <c r="P364" s="195" t="str">
        <f t="shared" si="23"/>
        <v/>
      </c>
      <c r="Q364" s="246"/>
      <c r="R364" s="229"/>
      <c r="S364" s="245"/>
      <c r="T364" s="229"/>
      <c r="U364" s="196">
        <v>363</v>
      </c>
    </row>
    <row r="365" spans="1:21" ht="15" customHeight="1">
      <c r="A365" s="190" t="str">
        <f t="shared" si="20"/>
        <v>364- -W</v>
      </c>
      <c r="B365" s="123"/>
      <c r="C365" s="125"/>
      <c r="D365" s="190" t="str" cm="1">
        <f t="array" ref="D365">IFERROR(VLOOKUP(C365,Old_Model_Registry!$B$2:$K$500,{3,10,8,9},0),"")</f>
        <v/>
      </c>
      <c r="E365" s="190"/>
      <c r="F365" s="190"/>
      <c r="G365" s="191"/>
      <c r="H365" s="192">
        <f t="shared" si="21"/>
        <v>0</v>
      </c>
      <c r="I365" s="121"/>
      <c r="J365" s="193" t="str" cm="1">
        <f t="array" ref="J365">IF(I365="No-Retrofit",F365,IFERROR(VLOOKUP(I365,Vstack!$A$2:$L$1000,{8},0),""))</f>
        <v/>
      </c>
      <c r="K365" s="224" t="str" cm="1">
        <f t="array" ref="K365">IF(I365="No-Retrofit",F365,IFERROR(VLOOKUP(I365,Vstack!$A$2:$L$1000,{9},0)*N365,""))</f>
        <v/>
      </c>
      <c r="L365" s="193" t="str" cm="1">
        <f t="array" ref="L365">IF(I365="No-Retrofit",F365,IFERROR(VLOOKUP(I365,Vstack!$A$2:$L$1000,{10,4},0),""))</f>
        <v/>
      </c>
      <c r="M365" s="193"/>
      <c r="N365" s="121"/>
      <c r="O365" s="193" t="str">
        <f t="shared" si="22"/>
        <v/>
      </c>
      <c r="P365" s="195" t="str">
        <f t="shared" si="23"/>
        <v/>
      </c>
      <c r="Q365" s="246"/>
      <c r="R365" s="229"/>
      <c r="S365" s="245"/>
      <c r="T365" s="229"/>
      <c r="U365" s="196">
        <v>364</v>
      </c>
    </row>
    <row r="366" spans="1:21" ht="15" customHeight="1">
      <c r="A366" s="190" t="str">
        <f t="shared" si="20"/>
        <v>365- -W</v>
      </c>
      <c r="B366" s="123"/>
      <c r="C366" s="125"/>
      <c r="D366" s="190" t="str" cm="1">
        <f t="array" ref="D366">IFERROR(VLOOKUP(C366,Old_Model_Registry!$B$2:$K$500,{3,10,8,9},0),"")</f>
        <v/>
      </c>
      <c r="E366" s="190"/>
      <c r="F366" s="190"/>
      <c r="G366" s="191"/>
      <c r="H366" s="192">
        <f t="shared" si="21"/>
        <v>0</v>
      </c>
      <c r="I366" s="121"/>
      <c r="J366" s="193" t="str" cm="1">
        <f t="array" ref="J366">IF(I366="No-Retrofit",F366,IFERROR(VLOOKUP(I366,Vstack!$A$2:$L$1000,{8},0),""))</f>
        <v/>
      </c>
      <c r="K366" s="224" t="str" cm="1">
        <f t="array" ref="K366">IF(I366="No-Retrofit",F366,IFERROR(VLOOKUP(I366,Vstack!$A$2:$L$1000,{9},0)*N366,""))</f>
        <v/>
      </c>
      <c r="L366" s="193" t="str" cm="1">
        <f t="array" ref="L366">IF(I366="No-Retrofit",F366,IFERROR(VLOOKUP(I366,Vstack!$A$2:$L$1000,{10,4},0),""))</f>
        <v/>
      </c>
      <c r="M366" s="193"/>
      <c r="N366" s="121"/>
      <c r="O366" s="193" t="str">
        <f t="shared" si="22"/>
        <v/>
      </c>
      <c r="P366" s="195" t="str">
        <f t="shared" si="23"/>
        <v/>
      </c>
      <c r="Q366" s="246"/>
      <c r="R366" s="229"/>
      <c r="S366" s="231"/>
      <c r="T366" s="229"/>
      <c r="U366" s="196">
        <v>365</v>
      </c>
    </row>
    <row r="367" spans="1:21" ht="15" customHeight="1">
      <c r="A367" s="190" t="str">
        <f t="shared" si="20"/>
        <v>366- -W</v>
      </c>
      <c r="B367" s="123"/>
      <c r="C367" s="125"/>
      <c r="D367" s="190" t="str" cm="1">
        <f t="array" ref="D367">IFERROR(VLOOKUP(C367,Old_Model_Registry!$B$2:$K$500,{3,10,8,9},0),"")</f>
        <v/>
      </c>
      <c r="E367" s="190"/>
      <c r="F367" s="190"/>
      <c r="G367" s="191"/>
      <c r="H367" s="192">
        <f t="shared" si="21"/>
        <v>0</v>
      </c>
      <c r="I367" s="121"/>
      <c r="J367" s="193" t="str" cm="1">
        <f t="array" ref="J367">IF(I367="No-Retrofit",F367,IFERROR(VLOOKUP(I367,Vstack!$A$2:$L$1000,{8},0),""))</f>
        <v/>
      </c>
      <c r="K367" s="224" t="str" cm="1">
        <f t="array" ref="K367">IF(I367="No-Retrofit",F367,IFERROR(VLOOKUP(I367,Vstack!$A$2:$L$1000,{9},0)*N367,""))</f>
        <v/>
      </c>
      <c r="L367" s="193" t="str" cm="1">
        <f t="array" ref="L367">IF(I367="No-Retrofit",F367,IFERROR(VLOOKUP(I367,Vstack!$A$2:$L$1000,{10,4},0),""))</f>
        <v/>
      </c>
      <c r="M367" s="193"/>
      <c r="N367" s="121"/>
      <c r="O367" s="193" t="str">
        <f t="shared" si="22"/>
        <v/>
      </c>
      <c r="P367" s="195" t="str">
        <f t="shared" si="23"/>
        <v/>
      </c>
      <c r="Q367" s="246"/>
      <c r="R367" s="229"/>
      <c r="S367" s="245"/>
      <c r="T367" s="229"/>
      <c r="U367" s="196">
        <v>366</v>
      </c>
    </row>
    <row r="368" spans="1:21" ht="15" customHeight="1">
      <c r="A368" s="190" t="str">
        <f t="shared" si="20"/>
        <v>367- -W</v>
      </c>
      <c r="B368" s="123"/>
      <c r="C368" s="125"/>
      <c r="D368" s="190" t="str" cm="1">
        <f t="array" ref="D368">IFERROR(VLOOKUP(C368,Old_Model_Registry!$B$2:$K$500,{3,10,8,9},0),"")</f>
        <v/>
      </c>
      <c r="E368" s="190"/>
      <c r="F368" s="190"/>
      <c r="G368" s="191"/>
      <c r="H368" s="192">
        <f t="shared" si="21"/>
        <v>0</v>
      </c>
      <c r="I368" s="121"/>
      <c r="J368" s="193" t="str" cm="1">
        <f t="array" ref="J368">IF(I368="No-Retrofit",F368,IFERROR(VLOOKUP(I368,Vstack!$A$2:$L$1000,{8},0),""))</f>
        <v/>
      </c>
      <c r="K368" s="224" t="str" cm="1">
        <f t="array" ref="K368">IF(I368="No-Retrofit",F368,IFERROR(VLOOKUP(I368,Vstack!$A$2:$L$1000,{9},0)*N368,""))</f>
        <v/>
      </c>
      <c r="L368" s="193" t="str" cm="1">
        <f t="array" ref="L368">IF(I368="No-Retrofit",F368,IFERROR(VLOOKUP(I368,Vstack!$A$2:$L$1000,{10,4},0),""))</f>
        <v/>
      </c>
      <c r="M368" s="193"/>
      <c r="N368" s="121"/>
      <c r="O368" s="193" t="str">
        <f t="shared" si="22"/>
        <v/>
      </c>
      <c r="P368" s="195" t="str">
        <f t="shared" si="23"/>
        <v/>
      </c>
      <c r="Q368" s="246"/>
      <c r="R368" s="229"/>
      <c r="S368" s="245"/>
      <c r="T368" s="229"/>
      <c r="U368" s="196">
        <v>367</v>
      </c>
    </row>
    <row r="369" spans="1:21" ht="15" customHeight="1">
      <c r="A369" s="190" t="str">
        <f t="shared" si="20"/>
        <v>368- -W</v>
      </c>
      <c r="B369" s="123"/>
      <c r="C369" s="125"/>
      <c r="D369" s="190" t="str" cm="1">
        <f t="array" ref="D369">IFERROR(VLOOKUP(C369,Old_Model_Registry!$B$2:$K$500,{3,10,8,9},0),"")</f>
        <v/>
      </c>
      <c r="E369" s="190"/>
      <c r="F369" s="190"/>
      <c r="G369" s="191"/>
      <c r="H369" s="192">
        <f t="shared" si="21"/>
        <v>0</v>
      </c>
      <c r="I369" s="121"/>
      <c r="J369" s="193" t="str" cm="1">
        <f t="array" ref="J369">IF(I369="No-Retrofit",F369,IFERROR(VLOOKUP(I369,Vstack!$A$2:$L$1000,{8},0),""))</f>
        <v/>
      </c>
      <c r="K369" s="224" t="str" cm="1">
        <f t="array" ref="K369">IF(I369="No-Retrofit",F369,IFERROR(VLOOKUP(I369,Vstack!$A$2:$L$1000,{9},0)*N369,""))</f>
        <v/>
      </c>
      <c r="L369" s="193" t="str" cm="1">
        <f t="array" ref="L369">IF(I369="No-Retrofit",F369,IFERROR(VLOOKUP(I369,Vstack!$A$2:$L$1000,{10,4},0),""))</f>
        <v/>
      </c>
      <c r="M369" s="193"/>
      <c r="N369" s="121"/>
      <c r="O369" s="193" t="str">
        <f t="shared" si="22"/>
        <v/>
      </c>
      <c r="P369" s="195" t="str">
        <f t="shared" si="23"/>
        <v/>
      </c>
      <c r="Q369" s="246"/>
      <c r="R369" s="229"/>
      <c r="S369" s="231"/>
      <c r="T369" s="229"/>
      <c r="U369" s="196">
        <v>368</v>
      </c>
    </row>
    <row r="370" spans="1:21" ht="15" customHeight="1">
      <c r="A370" s="190" t="str">
        <f t="shared" si="20"/>
        <v>369- -W</v>
      </c>
      <c r="B370" s="123"/>
      <c r="C370" s="125"/>
      <c r="D370" s="190" t="str" cm="1">
        <f t="array" ref="D370">IFERROR(VLOOKUP(C370,Old_Model_Registry!$B$2:$K$500,{3,10,8,9},0),"")</f>
        <v/>
      </c>
      <c r="E370" s="190"/>
      <c r="F370" s="190"/>
      <c r="G370" s="191"/>
      <c r="H370" s="192">
        <f t="shared" si="21"/>
        <v>0</v>
      </c>
      <c r="I370" s="121"/>
      <c r="J370" s="193" t="str" cm="1">
        <f t="array" ref="J370">IF(I370="No-Retrofit",F370,IFERROR(VLOOKUP(I370,Vstack!$A$2:$L$1000,{8},0),""))</f>
        <v/>
      </c>
      <c r="K370" s="224" t="str" cm="1">
        <f t="array" ref="K370">IF(I370="No-Retrofit",F370,IFERROR(VLOOKUP(I370,Vstack!$A$2:$L$1000,{9},0)*N370,""))</f>
        <v/>
      </c>
      <c r="L370" s="193" t="str" cm="1">
        <f t="array" ref="L370">IF(I370="No-Retrofit",F370,IFERROR(VLOOKUP(I370,Vstack!$A$2:$L$1000,{10,4},0),""))</f>
        <v/>
      </c>
      <c r="M370" s="193"/>
      <c r="N370" s="121"/>
      <c r="O370" s="193" t="str">
        <f t="shared" si="22"/>
        <v/>
      </c>
      <c r="P370" s="195" t="str">
        <f t="shared" si="23"/>
        <v/>
      </c>
      <c r="Q370" s="246"/>
      <c r="R370" s="229"/>
      <c r="S370" s="245"/>
      <c r="T370" s="229"/>
      <c r="U370" s="196">
        <v>369</v>
      </c>
    </row>
    <row r="371" spans="1:21" ht="15" customHeight="1">
      <c r="A371" s="190" t="str">
        <f t="shared" si="20"/>
        <v>370- -W</v>
      </c>
      <c r="B371" s="123"/>
      <c r="C371" s="125"/>
      <c r="D371" s="190" t="str" cm="1">
        <f t="array" ref="D371">IFERROR(VLOOKUP(C371,Old_Model_Registry!$B$2:$K$500,{3,10,8,9},0),"")</f>
        <v/>
      </c>
      <c r="E371" s="190"/>
      <c r="F371" s="190"/>
      <c r="G371" s="191"/>
      <c r="H371" s="192">
        <f t="shared" si="21"/>
        <v>0</v>
      </c>
      <c r="I371" s="121"/>
      <c r="J371" s="193" t="str" cm="1">
        <f t="array" ref="J371">IF(I371="No-Retrofit",F371,IFERROR(VLOOKUP(I371,Vstack!$A$2:$L$1000,{8},0),""))</f>
        <v/>
      </c>
      <c r="K371" s="224" t="str" cm="1">
        <f t="array" ref="K371">IF(I371="No-Retrofit",F371,IFERROR(VLOOKUP(I371,Vstack!$A$2:$L$1000,{9},0)*N371,""))</f>
        <v/>
      </c>
      <c r="L371" s="193" t="str" cm="1">
        <f t="array" ref="L371">IF(I371="No-Retrofit",F371,IFERROR(VLOOKUP(I371,Vstack!$A$2:$L$1000,{10,4},0),""))</f>
        <v/>
      </c>
      <c r="M371" s="193"/>
      <c r="N371" s="121"/>
      <c r="O371" s="193" t="str">
        <f t="shared" si="22"/>
        <v/>
      </c>
      <c r="P371" s="195" t="str">
        <f t="shared" si="23"/>
        <v/>
      </c>
      <c r="Q371" s="246"/>
      <c r="R371" s="229"/>
      <c r="S371" s="245"/>
      <c r="T371" s="229"/>
      <c r="U371" s="196">
        <v>370</v>
      </c>
    </row>
    <row r="372" spans="1:21" ht="15" customHeight="1">
      <c r="A372" s="190" t="str">
        <f t="shared" si="20"/>
        <v>371- -W</v>
      </c>
      <c r="B372" s="123"/>
      <c r="C372" s="125"/>
      <c r="D372" s="190" t="str" cm="1">
        <f t="array" ref="D372">IFERROR(VLOOKUP(C372,Old_Model_Registry!$B$2:$K$500,{3,10,8,9},0),"")</f>
        <v/>
      </c>
      <c r="E372" s="190"/>
      <c r="F372" s="190"/>
      <c r="G372" s="191"/>
      <c r="H372" s="192">
        <f t="shared" si="21"/>
        <v>0</v>
      </c>
      <c r="I372" s="121"/>
      <c r="J372" s="193" t="str" cm="1">
        <f t="array" ref="J372">IF(I372="No-Retrofit",F372,IFERROR(VLOOKUP(I372,Vstack!$A$2:$L$1000,{8},0),""))</f>
        <v/>
      </c>
      <c r="K372" s="224" t="str" cm="1">
        <f t="array" ref="K372">IF(I372="No-Retrofit",F372,IFERROR(VLOOKUP(I372,Vstack!$A$2:$L$1000,{9},0)*N372,""))</f>
        <v/>
      </c>
      <c r="L372" s="193" t="str" cm="1">
        <f t="array" ref="L372">IF(I372="No-Retrofit",F372,IFERROR(VLOOKUP(I372,Vstack!$A$2:$L$1000,{10,4},0),""))</f>
        <v/>
      </c>
      <c r="M372" s="193"/>
      <c r="N372" s="121"/>
      <c r="O372" s="193" t="str">
        <f t="shared" si="22"/>
        <v/>
      </c>
      <c r="P372" s="195" t="str">
        <f t="shared" si="23"/>
        <v/>
      </c>
      <c r="Q372" s="246"/>
      <c r="R372" s="229"/>
      <c r="S372" s="231"/>
      <c r="T372" s="229"/>
      <c r="U372" s="196">
        <v>371</v>
      </c>
    </row>
    <row r="373" spans="1:21" ht="15" customHeight="1">
      <c r="A373" s="190" t="str">
        <f t="shared" si="20"/>
        <v>372- -W</v>
      </c>
      <c r="B373" s="123"/>
      <c r="C373" s="125"/>
      <c r="D373" s="190" t="str" cm="1">
        <f t="array" ref="D373">IFERROR(VLOOKUP(C373,Old_Model_Registry!$B$2:$K$500,{3,10,8,9},0),"")</f>
        <v/>
      </c>
      <c r="E373" s="190"/>
      <c r="F373" s="190"/>
      <c r="G373" s="191"/>
      <c r="H373" s="192">
        <f t="shared" si="21"/>
        <v>0</v>
      </c>
      <c r="I373" s="121"/>
      <c r="J373" s="193" t="str" cm="1">
        <f t="array" ref="J373">IF(I373="No-Retrofit",F373,IFERROR(VLOOKUP(I373,Vstack!$A$2:$L$1000,{8},0),""))</f>
        <v/>
      </c>
      <c r="K373" s="224" t="str" cm="1">
        <f t="array" ref="K373">IF(I373="No-Retrofit",F373,IFERROR(VLOOKUP(I373,Vstack!$A$2:$L$1000,{9},0)*N373,""))</f>
        <v/>
      </c>
      <c r="L373" s="193" t="str" cm="1">
        <f t="array" ref="L373">IF(I373="No-Retrofit",F373,IFERROR(VLOOKUP(I373,Vstack!$A$2:$L$1000,{10,4},0),""))</f>
        <v/>
      </c>
      <c r="M373" s="193"/>
      <c r="N373" s="121"/>
      <c r="O373" s="193" t="str">
        <f t="shared" si="22"/>
        <v/>
      </c>
      <c r="P373" s="195" t="str">
        <f t="shared" si="23"/>
        <v/>
      </c>
      <c r="Q373" s="246"/>
      <c r="R373" s="229"/>
      <c r="S373" s="231"/>
      <c r="T373" s="229"/>
      <c r="U373" s="196">
        <v>372</v>
      </c>
    </row>
    <row r="374" spans="1:21" ht="15" customHeight="1">
      <c r="A374" s="190" t="str">
        <f t="shared" si="20"/>
        <v>373- -W</v>
      </c>
      <c r="B374" s="123"/>
      <c r="C374" s="125"/>
      <c r="D374" s="190" t="str" cm="1">
        <f t="array" ref="D374">IFERROR(VLOOKUP(C374,Old_Model_Registry!$B$2:$K$500,{3,10,8,9},0),"")</f>
        <v/>
      </c>
      <c r="E374" s="190"/>
      <c r="F374" s="190"/>
      <c r="G374" s="191"/>
      <c r="H374" s="192">
        <f t="shared" si="21"/>
        <v>0</v>
      </c>
      <c r="I374" s="121"/>
      <c r="J374" s="193" t="str" cm="1">
        <f t="array" ref="J374">IF(I374="No-Retrofit",F374,IFERROR(VLOOKUP(I374,Vstack!$A$2:$L$1000,{8},0),""))</f>
        <v/>
      </c>
      <c r="K374" s="224" t="str" cm="1">
        <f t="array" ref="K374">IF(I374="No-Retrofit",F374,IFERROR(VLOOKUP(I374,Vstack!$A$2:$L$1000,{9},0)*N374,""))</f>
        <v/>
      </c>
      <c r="L374" s="193" t="str" cm="1">
        <f t="array" ref="L374">IF(I374="No-Retrofit",F374,IFERROR(VLOOKUP(I374,Vstack!$A$2:$L$1000,{10,4},0),""))</f>
        <v/>
      </c>
      <c r="M374" s="193"/>
      <c r="N374" s="121"/>
      <c r="O374" s="193" t="str">
        <f t="shared" si="22"/>
        <v/>
      </c>
      <c r="P374" s="195" t="str">
        <f t="shared" si="23"/>
        <v/>
      </c>
      <c r="Q374" s="246"/>
      <c r="R374" s="229"/>
      <c r="S374" s="245"/>
      <c r="T374" s="229"/>
      <c r="U374" s="196">
        <v>373</v>
      </c>
    </row>
    <row r="375" spans="1:21" ht="15" customHeight="1">
      <c r="A375" s="190" t="str">
        <f t="shared" si="20"/>
        <v>374- -W</v>
      </c>
      <c r="B375" s="123"/>
      <c r="C375" s="125"/>
      <c r="D375" s="190" t="str" cm="1">
        <f t="array" ref="D375">IFERROR(VLOOKUP(C375,Old_Model_Registry!$B$2:$K$500,{3,10,8,9},0),"")</f>
        <v/>
      </c>
      <c r="E375" s="190"/>
      <c r="F375" s="190"/>
      <c r="G375" s="191"/>
      <c r="H375" s="192">
        <f t="shared" si="21"/>
        <v>0</v>
      </c>
      <c r="I375" s="121"/>
      <c r="J375" s="193" t="str" cm="1">
        <f t="array" ref="J375">IF(I375="No-Retrofit",F375,IFERROR(VLOOKUP(I375,Vstack!$A$2:$L$1000,{8},0),""))</f>
        <v/>
      </c>
      <c r="K375" s="224" t="str" cm="1">
        <f t="array" ref="K375">IF(I375="No-Retrofit",F375,IFERROR(VLOOKUP(I375,Vstack!$A$2:$L$1000,{9},0)*N375,""))</f>
        <v/>
      </c>
      <c r="L375" s="193" t="str" cm="1">
        <f t="array" ref="L375">IF(I375="No-Retrofit",F375,IFERROR(VLOOKUP(I375,Vstack!$A$2:$L$1000,{10,4},0),""))</f>
        <v/>
      </c>
      <c r="M375" s="193"/>
      <c r="N375" s="121"/>
      <c r="O375" s="193" t="str">
        <f t="shared" si="22"/>
        <v/>
      </c>
      <c r="P375" s="195" t="str">
        <f t="shared" si="23"/>
        <v/>
      </c>
      <c r="Q375" s="246"/>
      <c r="R375" s="229"/>
      <c r="S375" s="245"/>
      <c r="T375" s="229"/>
      <c r="U375" s="196">
        <v>374</v>
      </c>
    </row>
    <row r="376" spans="1:21" ht="21" customHeight="1">
      <c r="A376" s="190" t="str">
        <f t="shared" si="20"/>
        <v>375- -W</v>
      </c>
      <c r="B376" s="123"/>
      <c r="C376" s="125"/>
      <c r="D376" s="190" t="str" cm="1">
        <f t="array" ref="D376">IFERROR(VLOOKUP(C376,Old_Model_Registry!$B$2:$K$500,{3,10,8,9},0),"")</f>
        <v/>
      </c>
      <c r="E376" s="190"/>
      <c r="F376" s="190"/>
      <c r="G376" s="191"/>
      <c r="H376" s="192">
        <f t="shared" si="21"/>
        <v>0</v>
      </c>
      <c r="I376" s="121"/>
      <c r="J376" s="193" t="str" cm="1">
        <f t="array" ref="J376">IF(I376="No-Retrofit",F376,IFERROR(VLOOKUP(I376,Vstack!$A$2:$L$1000,{8},0),""))</f>
        <v/>
      </c>
      <c r="K376" s="224" t="str" cm="1">
        <f t="array" ref="K376">IF(I376="No-Retrofit",F376,IFERROR(VLOOKUP(I376,Vstack!$A$2:$L$1000,{9},0)*N376,""))</f>
        <v/>
      </c>
      <c r="L376" s="193" t="str" cm="1">
        <f t="array" ref="L376">IF(I376="No-Retrofit",F376,IFERROR(VLOOKUP(I376,Vstack!$A$2:$L$1000,{10,4},0),""))</f>
        <v/>
      </c>
      <c r="M376" s="193"/>
      <c r="N376" s="121"/>
      <c r="O376" s="193" t="str">
        <f t="shared" si="22"/>
        <v/>
      </c>
      <c r="P376" s="195" t="str">
        <f t="shared" si="23"/>
        <v/>
      </c>
      <c r="Q376" s="246"/>
      <c r="R376" s="229"/>
      <c r="S376" s="245"/>
      <c r="T376" s="229"/>
      <c r="U376" s="196">
        <v>375</v>
      </c>
    </row>
    <row r="377" spans="1:21" ht="15" customHeight="1">
      <c r="A377" s="190" t="str">
        <f t="shared" si="20"/>
        <v>376- -W</v>
      </c>
      <c r="B377" s="123"/>
      <c r="C377" s="125"/>
      <c r="D377" s="190" t="str" cm="1">
        <f t="array" ref="D377">IFERROR(VLOOKUP(C377,Old_Model_Registry!$B$2:$K$500,{3,10,8,9},0),"")</f>
        <v/>
      </c>
      <c r="E377" s="190"/>
      <c r="F377" s="190"/>
      <c r="G377" s="191"/>
      <c r="H377" s="192">
        <f t="shared" si="21"/>
        <v>0</v>
      </c>
      <c r="I377" s="121"/>
      <c r="J377" s="193" t="str" cm="1">
        <f t="array" ref="J377">IF(I377="No-Retrofit",F377,IFERROR(VLOOKUP(I377,Vstack!$A$2:$L$1000,{8},0),""))</f>
        <v/>
      </c>
      <c r="K377" s="224" t="str" cm="1">
        <f t="array" ref="K377">IF(I377="No-Retrofit",F377,IFERROR(VLOOKUP(I377,Vstack!$A$2:$L$1000,{9},0)*N377,""))</f>
        <v/>
      </c>
      <c r="L377" s="193" t="str" cm="1">
        <f t="array" ref="L377">IF(I377="No-Retrofit",F377,IFERROR(VLOOKUP(I377,Vstack!$A$2:$L$1000,{10,4},0),""))</f>
        <v/>
      </c>
      <c r="M377" s="193"/>
      <c r="N377" s="121"/>
      <c r="O377" s="193" t="str">
        <f t="shared" si="22"/>
        <v/>
      </c>
      <c r="P377" s="195" t="str">
        <f t="shared" si="23"/>
        <v/>
      </c>
      <c r="Q377" s="230"/>
      <c r="R377" s="229"/>
      <c r="S377" s="231"/>
      <c r="T377" s="229"/>
      <c r="U377" s="196">
        <v>376</v>
      </c>
    </row>
    <row r="378" spans="1:21" ht="15" customHeight="1">
      <c r="A378" s="190" t="str">
        <f t="shared" si="20"/>
        <v>377- -W</v>
      </c>
      <c r="B378" s="123"/>
      <c r="C378" s="125"/>
      <c r="D378" s="190" t="str" cm="1">
        <f t="array" ref="D378">IFERROR(VLOOKUP(C378,Old_Model_Registry!$B$2:$K$500,{3,10,8,9},0),"")</f>
        <v/>
      </c>
      <c r="E378" s="190"/>
      <c r="F378" s="190"/>
      <c r="G378" s="191"/>
      <c r="H378" s="192">
        <f t="shared" si="21"/>
        <v>0</v>
      </c>
      <c r="I378" s="121"/>
      <c r="J378" s="193" t="str" cm="1">
        <f t="array" ref="J378">IF(I378="No-Retrofit",F378,IFERROR(VLOOKUP(I378,Vstack!$A$2:$L$1000,{8},0),""))</f>
        <v/>
      </c>
      <c r="K378" s="224" t="str" cm="1">
        <f t="array" ref="K378">IF(I378="No-Retrofit",F378,IFERROR(VLOOKUP(I378,Vstack!$A$2:$L$1000,{9},0)*N378,""))</f>
        <v/>
      </c>
      <c r="L378" s="193" t="str" cm="1">
        <f t="array" ref="L378">IF(I378="No-Retrofit",F378,IFERROR(VLOOKUP(I378,Vstack!$A$2:$L$1000,{10,4},0),""))</f>
        <v/>
      </c>
      <c r="M378" s="193"/>
      <c r="N378" s="121"/>
      <c r="O378" s="193" t="str">
        <f t="shared" si="22"/>
        <v/>
      </c>
      <c r="P378" s="195" t="str">
        <f t="shared" si="23"/>
        <v/>
      </c>
      <c r="Q378" s="230"/>
      <c r="R378" s="229"/>
      <c r="S378" s="231"/>
      <c r="T378" s="229"/>
      <c r="U378" s="196">
        <v>377</v>
      </c>
    </row>
    <row r="379" spans="1:21" ht="15" customHeight="1">
      <c r="A379" s="190" t="str">
        <f t="shared" si="20"/>
        <v>378- -W</v>
      </c>
      <c r="B379" s="123"/>
      <c r="C379" s="125"/>
      <c r="D379" s="190" t="str" cm="1">
        <f t="array" ref="D379">IFERROR(VLOOKUP(C379,Old_Model_Registry!$B$2:$K$500,{3,10,8,9},0),"")</f>
        <v/>
      </c>
      <c r="E379" s="190"/>
      <c r="F379" s="190"/>
      <c r="G379" s="191"/>
      <c r="H379" s="192">
        <f t="shared" si="21"/>
        <v>0</v>
      </c>
      <c r="I379" s="121"/>
      <c r="J379" s="193" t="str" cm="1">
        <f t="array" ref="J379">IF(I379="No-Retrofit",F379,IFERROR(VLOOKUP(I379,Vstack!$A$2:$L$1000,{8},0),""))</f>
        <v/>
      </c>
      <c r="K379" s="224" t="str" cm="1">
        <f t="array" ref="K379">IF(I379="No-Retrofit",F379,IFERROR(VLOOKUP(I379,Vstack!$A$2:$L$1000,{9},0)*N379,""))</f>
        <v/>
      </c>
      <c r="L379" s="193" t="str" cm="1">
        <f t="array" ref="L379">IF(I379="No-Retrofit",F379,IFERROR(VLOOKUP(I379,Vstack!$A$2:$L$1000,{10,4},0),""))</f>
        <v/>
      </c>
      <c r="M379" s="193"/>
      <c r="N379" s="121"/>
      <c r="O379" s="193" t="str">
        <f t="shared" si="22"/>
        <v/>
      </c>
      <c r="P379" s="195" t="str">
        <f t="shared" si="23"/>
        <v/>
      </c>
      <c r="Q379" s="230"/>
      <c r="R379" s="229"/>
      <c r="S379" s="231"/>
      <c r="T379" s="229"/>
      <c r="U379" s="196">
        <v>378</v>
      </c>
    </row>
    <row r="380" spans="1:21" ht="15" customHeight="1">
      <c r="A380" s="190" t="str">
        <f t="shared" si="20"/>
        <v>379- -W</v>
      </c>
      <c r="B380" s="123"/>
      <c r="C380" s="125"/>
      <c r="D380" s="190" t="str" cm="1">
        <f t="array" ref="D380">IFERROR(VLOOKUP(C380,Old_Model_Registry!$B$2:$K$500,{3,10,8,9},0),"")</f>
        <v/>
      </c>
      <c r="E380" s="190"/>
      <c r="F380" s="190"/>
      <c r="G380" s="191"/>
      <c r="H380" s="192">
        <f t="shared" si="21"/>
        <v>0</v>
      </c>
      <c r="I380" s="121"/>
      <c r="J380" s="193" t="str" cm="1">
        <f t="array" ref="J380">IF(I380="No-Retrofit",F380,IFERROR(VLOOKUP(I380,Vstack!$A$2:$L$1000,{8},0),""))</f>
        <v/>
      </c>
      <c r="K380" s="224" t="str" cm="1">
        <f t="array" ref="K380">IF(I380="No-Retrofit",F380,IFERROR(VLOOKUP(I380,Vstack!$A$2:$L$1000,{9},0)*N380,""))</f>
        <v/>
      </c>
      <c r="L380" s="193" t="str" cm="1">
        <f t="array" ref="L380">IF(I380="No-Retrofit",F380,IFERROR(VLOOKUP(I380,Vstack!$A$2:$L$1000,{10,4},0),""))</f>
        <v/>
      </c>
      <c r="M380" s="193"/>
      <c r="N380" s="121"/>
      <c r="O380" s="193" t="str">
        <f t="shared" si="22"/>
        <v/>
      </c>
      <c r="P380" s="195" t="str">
        <f t="shared" si="23"/>
        <v/>
      </c>
      <c r="Q380" s="230"/>
      <c r="R380" s="229"/>
      <c r="S380" s="231"/>
      <c r="T380" s="229"/>
      <c r="U380" s="196">
        <v>379</v>
      </c>
    </row>
    <row r="381" spans="1:21" ht="15" customHeight="1">
      <c r="A381" s="190" t="str">
        <f t="shared" si="20"/>
        <v>380- -W</v>
      </c>
      <c r="B381" s="123"/>
      <c r="C381" s="125"/>
      <c r="D381" s="190" t="str" cm="1">
        <f t="array" ref="D381">IFERROR(VLOOKUP(C381,Old_Model_Registry!$B$2:$K$500,{3,10,8,9},0),"")</f>
        <v/>
      </c>
      <c r="E381" s="190"/>
      <c r="F381" s="190"/>
      <c r="G381" s="191"/>
      <c r="H381" s="192">
        <f t="shared" si="21"/>
        <v>0</v>
      </c>
      <c r="I381" s="121"/>
      <c r="J381" s="193" t="str" cm="1">
        <f t="array" ref="J381">IF(I381="No-Retrofit",F381,IFERROR(VLOOKUP(I381,Vstack!$A$2:$L$1000,{8},0),""))</f>
        <v/>
      </c>
      <c r="K381" s="224" t="str" cm="1">
        <f t="array" ref="K381">IF(I381="No-Retrofit",F381,IFERROR(VLOOKUP(I381,Vstack!$A$2:$L$1000,{9},0)*N381,""))</f>
        <v/>
      </c>
      <c r="L381" s="193" t="str" cm="1">
        <f t="array" ref="L381">IF(I381="No-Retrofit",F381,IFERROR(VLOOKUP(I381,Vstack!$A$2:$L$1000,{10,4},0),""))</f>
        <v/>
      </c>
      <c r="M381" s="193"/>
      <c r="N381" s="121"/>
      <c r="O381" s="193" t="str">
        <f t="shared" si="22"/>
        <v/>
      </c>
      <c r="P381" s="195" t="str">
        <f t="shared" si="23"/>
        <v/>
      </c>
      <c r="Q381" s="230"/>
      <c r="R381" s="229"/>
      <c r="S381" s="231"/>
      <c r="T381" s="229"/>
      <c r="U381" s="196">
        <v>380</v>
      </c>
    </row>
    <row r="382" spans="1:21" ht="15" customHeight="1">
      <c r="A382" s="190" t="str">
        <f t="shared" si="20"/>
        <v>381- -W</v>
      </c>
      <c r="B382" s="123"/>
      <c r="C382" s="125"/>
      <c r="D382" s="190" t="str" cm="1">
        <f t="array" ref="D382">IFERROR(VLOOKUP(C382,Old_Model_Registry!$B$2:$K$500,{3,10,8,9},0),"")</f>
        <v/>
      </c>
      <c r="E382" s="190"/>
      <c r="F382" s="190"/>
      <c r="G382" s="191"/>
      <c r="H382" s="192">
        <f t="shared" si="21"/>
        <v>0</v>
      </c>
      <c r="I382" s="121"/>
      <c r="J382" s="193" t="str" cm="1">
        <f t="array" ref="J382">IF(I382="No-Retrofit",F382,IFERROR(VLOOKUP(I382,Vstack!$A$2:$L$1000,{8},0),""))</f>
        <v/>
      </c>
      <c r="K382" s="224" t="str" cm="1">
        <f t="array" ref="K382">IF(I382="No-Retrofit",F382,IFERROR(VLOOKUP(I382,Vstack!$A$2:$L$1000,{9},0)*N382,""))</f>
        <v/>
      </c>
      <c r="L382" s="193" t="str" cm="1">
        <f t="array" ref="L382">IF(I382="No-Retrofit",F382,IFERROR(VLOOKUP(I382,Vstack!$A$2:$L$1000,{10,4},0),""))</f>
        <v/>
      </c>
      <c r="M382" s="193"/>
      <c r="N382" s="121"/>
      <c r="O382" s="193" t="str">
        <f t="shared" si="22"/>
        <v/>
      </c>
      <c r="P382" s="195" t="str">
        <f t="shared" si="23"/>
        <v/>
      </c>
      <c r="Q382" s="230"/>
      <c r="R382" s="229"/>
      <c r="S382" s="231"/>
      <c r="T382" s="229"/>
      <c r="U382" s="196">
        <v>381</v>
      </c>
    </row>
    <row r="383" spans="1:21" ht="15" customHeight="1">
      <c r="A383" s="190" t="str">
        <f t="shared" si="20"/>
        <v>382- -W</v>
      </c>
      <c r="B383" s="123"/>
      <c r="C383" s="125"/>
      <c r="D383" s="190" t="str" cm="1">
        <f t="array" ref="D383">IFERROR(VLOOKUP(C383,Old_Model_Registry!$B$2:$K$500,{3,10,8,9},0),"")</f>
        <v/>
      </c>
      <c r="E383" s="190"/>
      <c r="F383" s="190"/>
      <c r="G383" s="191"/>
      <c r="H383" s="192">
        <f t="shared" si="21"/>
        <v>0</v>
      </c>
      <c r="I383" s="121"/>
      <c r="J383" s="193" t="str" cm="1">
        <f t="array" ref="J383">IF(I383="No-Retrofit",F383,IFERROR(VLOOKUP(I383,Vstack!$A$2:$L$1000,{8},0),""))</f>
        <v/>
      </c>
      <c r="K383" s="224" t="str" cm="1">
        <f t="array" ref="K383">IF(I383="No-Retrofit",F383,IFERROR(VLOOKUP(I383,Vstack!$A$2:$L$1000,{9},0)*N383,""))</f>
        <v/>
      </c>
      <c r="L383" s="193" t="str" cm="1">
        <f t="array" ref="L383">IF(I383="No-Retrofit",F383,IFERROR(VLOOKUP(I383,Vstack!$A$2:$L$1000,{10,4},0),""))</f>
        <v/>
      </c>
      <c r="M383" s="193"/>
      <c r="N383" s="121"/>
      <c r="O383" s="193" t="str">
        <f t="shared" si="22"/>
        <v/>
      </c>
      <c r="P383" s="195" t="str">
        <f t="shared" si="23"/>
        <v/>
      </c>
      <c r="Q383" s="230"/>
      <c r="R383" s="229"/>
      <c r="S383" s="231"/>
      <c r="T383" s="229"/>
      <c r="U383" s="196">
        <v>382</v>
      </c>
    </row>
    <row r="384" spans="1:21" ht="15" customHeight="1">
      <c r="A384" s="190" t="str">
        <f t="shared" si="20"/>
        <v>383- -W</v>
      </c>
      <c r="B384" s="123"/>
      <c r="C384" s="125"/>
      <c r="D384" s="190" t="str" cm="1">
        <f t="array" ref="D384">IFERROR(VLOOKUP(C384,Old_Model_Registry!$B$2:$K$500,{3,10,8,9},0),"")</f>
        <v/>
      </c>
      <c r="E384" s="190"/>
      <c r="F384" s="190"/>
      <c r="G384" s="191"/>
      <c r="H384" s="192">
        <f t="shared" si="21"/>
        <v>0</v>
      </c>
      <c r="I384" s="121"/>
      <c r="J384" s="193" t="str" cm="1">
        <f t="array" ref="J384">IF(I384="No-Retrofit",F384,IFERROR(VLOOKUP(I384,Vstack!$A$2:$L$1000,{8},0),""))</f>
        <v/>
      </c>
      <c r="K384" s="224" t="str" cm="1">
        <f t="array" ref="K384">IF(I384="No-Retrofit",F384,IFERROR(VLOOKUP(I384,Vstack!$A$2:$L$1000,{9},0)*N384,""))</f>
        <v/>
      </c>
      <c r="L384" s="193" t="str" cm="1">
        <f t="array" ref="L384">IF(I384="No-Retrofit",F384,IFERROR(VLOOKUP(I384,Vstack!$A$2:$L$1000,{10,4},0),""))</f>
        <v/>
      </c>
      <c r="M384" s="193"/>
      <c r="N384" s="121"/>
      <c r="O384" s="193" t="str">
        <f t="shared" si="22"/>
        <v/>
      </c>
      <c r="P384" s="195" t="str">
        <f t="shared" si="23"/>
        <v/>
      </c>
      <c r="Q384" s="230"/>
      <c r="R384" s="229"/>
      <c r="S384" s="231"/>
      <c r="T384" s="229"/>
      <c r="U384" s="196">
        <v>383</v>
      </c>
    </row>
    <row r="385" spans="1:21" ht="15" customHeight="1">
      <c r="A385" s="190" t="str">
        <f t="shared" si="20"/>
        <v>384- -W</v>
      </c>
      <c r="B385" s="123"/>
      <c r="C385" s="125"/>
      <c r="D385" s="190" t="str" cm="1">
        <f t="array" ref="D385">IFERROR(VLOOKUP(C385,Old_Model_Registry!$B$2:$K$500,{3,10,8,9},0),"")</f>
        <v/>
      </c>
      <c r="E385" s="190"/>
      <c r="F385" s="190"/>
      <c r="G385" s="191"/>
      <c r="H385" s="192">
        <f t="shared" si="21"/>
        <v>0</v>
      </c>
      <c r="I385" s="121"/>
      <c r="J385" s="193" t="str" cm="1">
        <f t="array" ref="J385">IF(I385="No-Retrofit",F385,IFERROR(VLOOKUP(I385,Vstack!$A$2:$L$1000,{8},0),""))</f>
        <v/>
      </c>
      <c r="K385" s="224" t="str" cm="1">
        <f t="array" ref="K385">IF(I385="No-Retrofit",F385,IFERROR(VLOOKUP(I385,Vstack!$A$2:$L$1000,{9},0)*N385,""))</f>
        <v/>
      </c>
      <c r="L385" s="193" t="str" cm="1">
        <f t="array" ref="L385">IF(I385="No-Retrofit",F385,IFERROR(VLOOKUP(I385,Vstack!$A$2:$L$1000,{10,4},0),""))</f>
        <v/>
      </c>
      <c r="M385" s="193"/>
      <c r="N385" s="121"/>
      <c r="O385" s="193" t="str">
        <f t="shared" si="22"/>
        <v/>
      </c>
      <c r="P385" s="195" t="str">
        <f t="shared" si="23"/>
        <v/>
      </c>
      <c r="Q385" s="230"/>
      <c r="R385" s="229"/>
      <c r="S385" s="231"/>
      <c r="T385" s="229"/>
      <c r="U385" s="196">
        <v>384</v>
      </c>
    </row>
    <row r="386" spans="1:21" ht="15" customHeight="1">
      <c r="A386" s="190" t="str">
        <f t="shared" si="20"/>
        <v>385- -W</v>
      </c>
      <c r="B386" s="123"/>
      <c r="C386" s="125"/>
      <c r="D386" s="190" t="str" cm="1">
        <f t="array" ref="D386">IFERROR(VLOOKUP(C386,Old_Model_Registry!$B$2:$K$500,{3,10,8,9},0),"")</f>
        <v/>
      </c>
      <c r="E386" s="190"/>
      <c r="F386" s="190"/>
      <c r="G386" s="191"/>
      <c r="H386" s="192">
        <f t="shared" si="21"/>
        <v>0</v>
      </c>
      <c r="I386" s="121"/>
      <c r="J386" s="193" t="str" cm="1">
        <f t="array" ref="J386">IF(I386="No-Retrofit",F386,IFERROR(VLOOKUP(I386,Vstack!$A$2:$L$1000,{8},0),""))</f>
        <v/>
      </c>
      <c r="K386" s="224" t="str" cm="1">
        <f t="array" ref="K386">IF(I386="No-Retrofit",F386,IFERROR(VLOOKUP(I386,Vstack!$A$2:$L$1000,{9},0)*N386,""))</f>
        <v/>
      </c>
      <c r="L386" s="193" t="str" cm="1">
        <f t="array" ref="L386">IF(I386="No-Retrofit",F386,IFERROR(VLOOKUP(I386,Vstack!$A$2:$L$1000,{10,4},0),""))</f>
        <v/>
      </c>
      <c r="M386" s="193"/>
      <c r="N386" s="121"/>
      <c r="O386" s="193" t="str">
        <f t="shared" si="22"/>
        <v/>
      </c>
      <c r="P386" s="195" t="str">
        <f t="shared" si="23"/>
        <v/>
      </c>
      <c r="Q386" s="230"/>
      <c r="R386" s="229"/>
      <c r="S386" s="231"/>
      <c r="T386" s="229"/>
      <c r="U386" s="196">
        <v>385</v>
      </c>
    </row>
    <row r="387" spans="1:21" ht="15" customHeight="1">
      <c r="A387" s="190" t="str">
        <f t="shared" ref="A387:A450" si="24">U387&amp;"- "&amp;B387&amp;"-"&amp;F387&amp;"W"</f>
        <v>386- -W</v>
      </c>
      <c r="B387" s="123"/>
      <c r="C387" s="125"/>
      <c r="D387" s="190" t="str" cm="1">
        <f t="array" ref="D387">IFERROR(VLOOKUP(C387,Old_Model_Registry!$B$2:$K$500,{3,10,8,9},0),"")</f>
        <v/>
      </c>
      <c r="E387" s="190"/>
      <c r="F387" s="190"/>
      <c r="G387" s="191"/>
      <c r="H387" s="192">
        <f t="shared" ref="H387:H450" si="25">E387*F387</f>
        <v>0</v>
      </c>
      <c r="I387" s="121"/>
      <c r="J387" s="193" t="str" cm="1">
        <f t="array" ref="J387">IF(I387="No-Retrofit",F387,IFERROR(VLOOKUP(I387,Vstack!$A$2:$L$1000,{8},0),""))</f>
        <v/>
      </c>
      <c r="K387" s="224" t="str" cm="1">
        <f t="array" ref="K387">IF(I387="No-Retrofit",F387,IFERROR(VLOOKUP(I387,Vstack!$A$2:$L$1000,{9},0)*N387,""))</f>
        <v/>
      </c>
      <c r="L387" s="193" t="str" cm="1">
        <f t="array" ref="L387">IF(I387="No-Retrofit",F387,IFERROR(VLOOKUP(I387,Vstack!$A$2:$L$1000,{10,4},0),""))</f>
        <v/>
      </c>
      <c r="M387" s="193"/>
      <c r="N387" s="121"/>
      <c r="O387" s="193" t="str">
        <f t="shared" ref="O387:O450" si="26">IFERROR(N387*J387,"")</f>
        <v/>
      </c>
      <c r="P387" s="195" t="str">
        <f t="shared" ref="P387:P450" si="27">IFERROR(-(O387/H387-1),"")</f>
        <v/>
      </c>
      <c r="Q387" s="230"/>
      <c r="R387" s="229"/>
      <c r="S387" s="231"/>
      <c r="T387" s="229"/>
      <c r="U387" s="196">
        <v>386</v>
      </c>
    </row>
    <row r="388" spans="1:21" ht="15" customHeight="1">
      <c r="A388" s="190" t="str">
        <f t="shared" si="24"/>
        <v>387- -W</v>
      </c>
      <c r="B388" s="123"/>
      <c r="C388" s="125"/>
      <c r="D388" s="190" t="str" cm="1">
        <f t="array" ref="D388">IFERROR(VLOOKUP(C388,Old_Model_Registry!$B$2:$K$500,{3,10,8,9},0),"")</f>
        <v/>
      </c>
      <c r="E388" s="190"/>
      <c r="F388" s="190"/>
      <c r="G388" s="191"/>
      <c r="H388" s="192">
        <f t="shared" si="25"/>
        <v>0</v>
      </c>
      <c r="I388" s="121"/>
      <c r="J388" s="193" t="str" cm="1">
        <f t="array" ref="J388">IF(I388="No-Retrofit",F388,IFERROR(VLOOKUP(I388,Vstack!$A$2:$L$1000,{8},0),""))</f>
        <v/>
      </c>
      <c r="K388" s="224" t="str" cm="1">
        <f t="array" ref="K388">IF(I388="No-Retrofit",F388,IFERROR(VLOOKUP(I388,Vstack!$A$2:$L$1000,{9},0)*N388,""))</f>
        <v/>
      </c>
      <c r="L388" s="193" t="str" cm="1">
        <f t="array" ref="L388">IF(I388="No-Retrofit",F388,IFERROR(VLOOKUP(I388,Vstack!$A$2:$L$1000,{10,4},0),""))</f>
        <v/>
      </c>
      <c r="M388" s="193"/>
      <c r="N388" s="121"/>
      <c r="O388" s="193" t="str">
        <f t="shared" si="26"/>
        <v/>
      </c>
      <c r="P388" s="195" t="str">
        <f t="shared" si="27"/>
        <v/>
      </c>
      <c r="Q388" s="230"/>
      <c r="R388" s="229"/>
      <c r="S388" s="231"/>
      <c r="T388" s="229"/>
      <c r="U388" s="196">
        <v>387</v>
      </c>
    </row>
    <row r="389" spans="1:21" ht="15" customHeight="1">
      <c r="A389" s="190" t="str">
        <f t="shared" si="24"/>
        <v>388- -W</v>
      </c>
      <c r="B389" s="123"/>
      <c r="C389" s="125"/>
      <c r="D389" s="190" t="str" cm="1">
        <f t="array" ref="D389">IFERROR(VLOOKUP(C389,Old_Model_Registry!$B$2:$K$500,{3,10,8,9},0),"")</f>
        <v/>
      </c>
      <c r="E389" s="190"/>
      <c r="F389" s="190"/>
      <c r="G389" s="191"/>
      <c r="H389" s="192">
        <f t="shared" si="25"/>
        <v>0</v>
      </c>
      <c r="I389" s="121"/>
      <c r="J389" s="193" t="str" cm="1">
        <f t="array" ref="J389">IF(I389="No-Retrofit",F389,IFERROR(VLOOKUP(I389,Vstack!$A$2:$L$1000,{8},0),""))</f>
        <v/>
      </c>
      <c r="K389" s="224" t="str" cm="1">
        <f t="array" ref="K389">IF(I389="No-Retrofit",F389,IFERROR(VLOOKUP(I389,Vstack!$A$2:$L$1000,{9},0)*N389,""))</f>
        <v/>
      </c>
      <c r="L389" s="193" t="str" cm="1">
        <f t="array" ref="L389">IF(I389="No-Retrofit",F389,IFERROR(VLOOKUP(I389,Vstack!$A$2:$L$1000,{10,4},0),""))</f>
        <v/>
      </c>
      <c r="M389" s="193"/>
      <c r="N389" s="121"/>
      <c r="O389" s="193" t="str">
        <f t="shared" si="26"/>
        <v/>
      </c>
      <c r="P389" s="195" t="str">
        <f t="shared" si="27"/>
        <v/>
      </c>
      <c r="Q389" s="230"/>
      <c r="R389" s="229"/>
      <c r="S389" s="231"/>
      <c r="T389" s="229"/>
      <c r="U389" s="196">
        <v>388</v>
      </c>
    </row>
    <row r="390" spans="1:21" ht="15" customHeight="1">
      <c r="A390" s="190" t="str">
        <f t="shared" si="24"/>
        <v>389- -W</v>
      </c>
      <c r="B390" s="123"/>
      <c r="C390" s="125"/>
      <c r="D390" s="190" t="str" cm="1">
        <f t="array" ref="D390">IFERROR(VLOOKUP(C390,Old_Model_Registry!$B$2:$K$500,{3,10,8,9},0),"")</f>
        <v/>
      </c>
      <c r="E390" s="190"/>
      <c r="F390" s="190"/>
      <c r="G390" s="191"/>
      <c r="H390" s="192">
        <f t="shared" si="25"/>
        <v>0</v>
      </c>
      <c r="I390" s="121"/>
      <c r="J390" s="193" t="str" cm="1">
        <f t="array" ref="J390">IF(I390="No-Retrofit",F390,IFERROR(VLOOKUP(I390,Vstack!$A$2:$L$1000,{8},0),""))</f>
        <v/>
      </c>
      <c r="K390" s="224" t="str" cm="1">
        <f t="array" ref="K390">IF(I390="No-Retrofit",F390,IFERROR(VLOOKUP(I390,Vstack!$A$2:$L$1000,{9},0)*N390,""))</f>
        <v/>
      </c>
      <c r="L390" s="193" t="str" cm="1">
        <f t="array" ref="L390">IF(I390="No-Retrofit",F390,IFERROR(VLOOKUP(I390,Vstack!$A$2:$L$1000,{10,4},0),""))</f>
        <v/>
      </c>
      <c r="M390" s="193"/>
      <c r="N390" s="121"/>
      <c r="O390" s="193" t="str">
        <f t="shared" si="26"/>
        <v/>
      </c>
      <c r="P390" s="195" t="str">
        <f t="shared" si="27"/>
        <v/>
      </c>
      <c r="Q390" s="230"/>
      <c r="R390" s="229"/>
      <c r="S390" s="231"/>
      <c r="T390" s="229"/>
      <c r="U390" s="196">
        <v>389</v>
      </c>
    </row>
    <row r="391" spans="1:21" ht="15" customHeight="1">
      <c r="A391" s="190" t="str">
        <f t="shared" si="24"/>
        <v>390- -W</v>
      </c>
      <c r="B391" s="123"/>
      <c r="C391" s="125"/>
      <c r="D391" s="190" t="str" cm="1">
        <f t="array" ref="D391">IFERROR(VLOOKUP(C391,Old_Model_Registry!$B$2:$K$500,{3,10,8,9},0),"")</f>
        <v/>
      </c>
      <c r="E391" s="190"/>
      <c r="F391" s="190"/>
      <c r="G391" s="191"/>
      <c r="H391" s="192">
        <f t="shared" si="25"/>
        <v>0</v>
      </c>
      <c r="I391" s="121"/>
      <c r="J391" s="193" t="str" cm="1">
        <f t="array" ref="J391">IF(I391="No-Retrofit",F391,IFERROR(VLOOKUP(I391,Vstack!$A$2:$L$1000,{8},0),""))</f>
        <v/>
      </c>
      <c r="K391" s="224" t="str" cm="1">
        <f t="array" ref="K391">IF(I391="No-Retrofit",F391,IFERROR(VLOOKUP(I391,Vstack!$A$2:$L$1000,{9},0)*N391,""))</f>
        <v/>
      </c>
      <c r="L391" s="193" t="str" cm="1">
        <f t="array" ref="L391">IF(I391="No-Retrofit",F391,IFERROR(VLOOKUP(I391,Vstack!$A$2:$L$1000,{10,4},0),""))</f>
        <v/>
      </c>
      <c r="M391" s="193"/>
      <c r="N391" s="121"/>
      <c r="O391" s="193" t="str">
        <f t="shared" si="26"/>
        <v/>
      </c>
      <c r="P391" s="195" t="str">
        <f t="shared" si="27"/>
        <v/>
      </c>
      <c r="Q391" s="230"/>
      <c r="R391" s="229"/>
      <c r="S391" s="231"/>
      <c r="T391" s="229"/>
      <c r="U391" s="196">
        <v>390</v>
      </c>
    </row>
    <row r="392" spans="1:21" ht="15" customHeight="1">
      <c r="A392" s="190" t="str">
        <f t="shared" si="24"/>
        <v>391- -W</v>
      </c>
      <c r="B392" s="123"/>
      <c r="C392" s="125"/>
      <c r="D392" s="190" t="str" cm="1">
        <f t="array" ref="D392">IFERROR(VLOOKUP(C392,Old_Model_Registry!$B$2:$K$500,{3,10,8,9},0),"")</f>
        <v/>
      </c>
      <c r="E392" s="190"/>
      <c r="F392" s="190"/>
      <c r="G392" s="191"/>
      <c r="H392" s="192">
        <f t="shared" si="25"/>
        <v>0</v>
      </c>
      <c r="I392" s="121"/>
      <c r="J392" s="193" t="str" cm="1">
        <f t="array" ref="J392">IF(I392="No-Retrofit",F392,IFERROR(VLOOKUP(I392,Vstack!$A$2:$L$1000,{8},0),""))</f>
        <v/>
      </c>
      <c r="K392" s="224" t="str" cm="1">
        <f t="array" ref="K392">IF(I392="No-Retrofit",F392,IFERROR(VLOOKUP(I392,Vstack!$A$2:$L$1000,{9},0)*N392,""))</f>
        <v/>
      </c>
      <c r="L392" s="193" t="str" cm="1">
        <f t="array" ref="L392">IF(I392="No-Retrofit",F392,IFERROR(VLOOKUP(I392,Vstack!$A$2:$L$1000,{10,4},0),""))</f>
        <v/>
      </c>
      <c r="M392" s="193"/>
      <c r="N392" s="121"/>
      <c r="O392" s="193" t="str">
        <f t="shared" si="26"/>
        <v/>
      </c>
      <c r="P392" s="195" t="str">
        <f t="shared" si="27"/>
        <v/>
      </c>
      <c r="Q392" s="230"/>
      <c r="R392" s="229"/>
      <c r="S392" s="231"/>
      <c r="T392" s="229"/>
      <c r="U392" s="196">
        <v>391</v>
      </c>
    </row>
    <row r="393" spans="1:21" ht="15" customHeight="1">
      <c r="A393" s="190" t="str">
        <f t="shared" si="24"/>
        <v>392- -W</v>
      </c>
      <c r="B393" s="123"/>
      <c r="C393" s="125"/>
      <c r="D393" s="190" t="str" cm="1">
        <f t="array" ref="D393">IFERROR(VLOOKUP(C393,Old_Model_Registry!$B$2:$K$500,{3,10,8,9},0),"")</f>
        <v/>
      </c>
      <c r="E393" s="190"/>
      <c r="F393" s="190"/>
      <c r="G393" s="191"/>
      <c r="H393" s="192">
        <f t="shared" si="25"/>
        <v>0</v>
      </c>
      <c r="I393" s="121"/>
      <c r="J393" s="193" t="str" cm="1">
        <f t="array" ref="J393">IF(I393="No-Retrofit",F393,IFERROR(VLOOKUP(I393,Vstack!$A$2:$L$1000,{8},0),""))</f>
        <v/>
      </c>
      <c r="K393" s="224" t="str" cm="1">
        <f t="array" ref="K393">IF(I393="No-Retrofit",F393,IFERROR(VLOOKUP(I393,Vstack!$A$2:$L$1000,{9},0)*N393,""))</f>
        <v/>
      </c>
      <c r="L393" s="193" t="str" cm="1">
        <f t="array" ref="L393">IF(I393="No-Retrofit",F393,IFERROR(VLOOKUP(I393,Vstack!$A$2:$L$1000,{10,4},0),""))</f>
        <v/>
      </c>
      <c r="M393" s="193"/>
      <c r="N393" s="121"/>
      <c r="O393" s="193" t="str">
        <f t="shared" si="26"/>
        <v/>
      </c>
      <c r="P393" s="195" t="str">
        <f t="shared" si="27"/>
        <v/>
      </c>
      <c r="Q393" s="230"/>
      <c r="R393" s="229"/>
      <c r="S393" s="231"/>
      <c r="T393" s="229"/>
      <c r="U393" s="196">
        <v>392</v>
      </c>
    </row>
    <row r="394" spans="1:21" ht="15" customHeight="1">
      <c r="A394" s="190" t="str">
        <f t="shared" si="24"/>
        <v>393- -W</v>
      </c>
      <c r="B394" s="123"/>
      <c r="C394" s="125"/>
      <c r="D394" s="190" t="str" cm="1">
        <f t="array" ref="D394">IFERROR(VLOOKUP(C394,Old_Model_Registry!$B$2:$K$500,{3,10,8,9},0),"")</f>
        <v/>
      </c>
      <c r="E394" s="190"/>
      <c r="F394" s="190"/>
      <c r="G394" s="191"/>
      <c r="H394" s="192">
        <f t="shared" si="25"/>
        <v>0</v>
      </c>
      <c r="I394" s="121"/>
      <c r="J394" s="193" t="str" cm="1">
        <f t="array" ref="J394">IF(I394="No-Retrofit",F394,IFERROR(VLOOKUP(I394,Vstack!$A$2:$L$1000,{8},0),""))</f>
        <v/>
      </c>
      <c r="K394" s="224" t="str" cm="1">
        <f t="array" ref="K394">IF(I394="No-Retrofit",F394,IFERROR(VLOOKUP(I394,Vstack!$A$2:$L$1000,{9},0)*N394,""))</f>
        <v/>
      </c>
      <c r="L394" s="193" t="str" cm="1">
        <f t="array" ref="L394">IF(I394="No-Retrofit",F394,IFERROR(VLOOKUP(I394,Vstack!$A$2:$L$1000,{10,4},0),""))</f>
        <v/>
      </c>
      <c r="M394" s="193"/>
      <c r="N394" s="121"/>
      <c r="O394" s="193" t="str">
        <f t="shared" si="26"/>
        <v/>
      </c>
      <c r="P394" s="195" t="str">
        <f t="shared" si="27"/>
        <v/>
      </c>
      <c r="Q394" s="230"/>
      <c r="R394" s="229"/>
      <c r="S394" s="231"/>
      <c r="T394" s="229"/>
      <c r="U394" s="196">
        <v>393</v>
      </c>
    </row>
    <row r="395" spans="1:21" ht="15" customHeight="1">
      <c r="A395" s="190" t="str">
        <f t="shared" si="24"/>
        <v>394- -W</v>
      </c>
      <c r="B395" s="123"/>
      <c r="C395" s="125"/>
      <c r="D395" s="190" t="str" cm="1">
        <f t="array" ref="D395">IFERROR(VLOOKUP(C395,Old_Model_Registry!$B$2:$K$500,{3,10,8,9},0),"")</f>
        <v/>
      </c>
      <c r="E395" s="190"/>
      <c r="F395" s="190"/>
      <c r="G395" s="191"/>
      <c r="H395" s="192">
        <f t="shared" si="25"/>
        <v>0</v>
      </c>
      <c r="I395" s="121"/>
      <c r="J395" s="193" t="str" cm="1">
        <f t="array" ref="J395">IF(I395="No-Retrofit",F395,IFERROR(VLOOKUP(I395,Vstack!$A$2:$L$1000,{8},0),""))</f>
        <v/>
      </c>
      <c r="K395" s="224" t="str" cm="1">
        <f t="array" ref="K395">IF(I395="No-Retrofit",F395,IFERROR(VLOOKUP(I395,Vstack!$A$2:$L$1000,{9},0)*N395,""))</f>
        <v/>
      </c>
      <c r="L395" s="193" t="str" cm="1">
        <f t="array" ref="L395">IF(I395="No-Retrofit",F395,IFERROR(VLOOKUP(I395,Vstack!$A$2:$L$1000,{10,4},0),""))</f>
        <v/>
      </c>
      <c r="M395" s="193"/>
      <c r="N395" s="121"/>
      <c r="O395" s="193" t="str">
        <f t="shared" si="26"/>
        <v/>
      </c>
      <c r="P395" s="195" t="str">
        <f t="shared" si="27"/>
        <v/>
      </c>
      <c r="Q395" s="230"/>
      <c r="R395" s="229"/>
      <c r="S395" s="231"/>
      <c r="T395" s="229"/>
      <c r="U395" s="196">
        <v>394</v>
      </c>
    </row>
    <row r="396" spans="1:21" ht="15" customHeight="1">
      <c r="A396" s="190" t="str">
        <f t="shared" si="24"/>
        <v>395- -W</v>
      </c>
      <c r="B396" s="123"/>
      <c r="C396" s="125"/>
      <c r="D396" s="190" t="str" cm="1">
        <f t="array" ref="D396">IFERROR(VLOOKUP(C396,Old_Model_Registry!$B$2:$K$500,{3,10,8,9},0),"")</f>
        <v/>
      </c>
      <c r="E396" s="190"/>
      <c r="F396" s="190"/>
      <c r="G396" s="191"/>
      <c r="H396" s="192">
        <f t="shared" si="25"/>
        <v>0</v>
      </c>
      <c r="I396" s="121"/>
      <c r="J396" s="193" t="str" cm="1">
        <f t="array" ref="J396">IF(I396="No-Retrofit",F396,IFERROR(VLOOKUP(I396,Vstack!$A$2:$L$1000,{8},0),""))</f>
        <v/>
      </c>
      <c r="K396" s="224" t="str" cm="1">
        <f t="array" ref="K396">IF(I396="No-Retrofit",F396,IFERROR(VLOOKUP(I396,Vstack!$A$2:$L$1000,{9},0)*N396,""))</f>
        <v/>
      </c>
      <c r="L396" s="193" t="str" cm="1">
        <f t="array" ref="L396">IF(I396="No-Retrofit",F396,IFERROR(VLOOKUP(I396,Vstack!$A$2:$L$1000,{10,4},0),""))</f>
        <v/>
      </c>
      <c r="M396" s="193"/>
      <c r="N396" s="121"/>
      <c r="O396" s="193" t="str">
        <f t="shared" si="26"/>
        <v/>
      </c>
      <c r="P396" s="195" t="str">
        <f t="shared" si="27"/>
        <v/>
      </c>
      <c r="Q396" s="230"/>
      <c r="R396" s="229"/>
      <c r="S396" s="231"/>
      <c r="T396" s="229"/>
      <c r="U396" s="196">
        <v>395</v>
      </c>
    </row>
    <row r="397" spans="1:21" ht="15" customHeight="1">
      <c r="A397" s="190" t="str">
        <f t="shared" si="24"/>
        <v>396- -W</v>
      </c>
      <c r="B397" s="123"/>
      <c r="C397" s="125"/>
      <c r="D397" s="190" t="str" cm="1">
        <f t="array" ref="D397">IFERROR(VLOOKUP(C397,Old_Model_Registry!$B$2:$K$500,{3,10,8,9},0),"")</f>
        <v/>
      </c>
      <c r="E397" s="190"/>
      <c r="F397" s="190"/>
      <c r="G397" s="191"/>
      <c r="H397" s="192">
        <f t="shared" si="25"/>
        <v>0</v>
      </c>
      <c r="I397" s="121"/>
      <c r="J397" s="193" t="str" cm="1">
        <f t="array" ref="J397">IF(I397="No-Retrofit",F397,IFERROR(VLOOKUP(I397,Vstack!$A$2:$L$1000,{8},0),""))</f>
        <v/>
      </c>
      <c r="K397" s="224" t="str" cm="1">
        <f t="array" ref="K397">IF(I397="No-Retrofit",F397,IFERROR(VLOOKUP(I397,Vstack!$A$2:$L$1000,{9},0)*N397,""))</f>
        <v/>
      </c>
      <c r="L397" s="193" t="str" cm="1">
        <f t="array" ref="L397">IF(I397="No-Retrofit",F397,IFERROR(VLOOKUP(I397,Vstack!$A$2:$L$1000,{10,4},0),""))</f>
        <v/>
      </c>
      <c r="M397" s="193"/>
      <c r="N397" s="121"/>
      <c r="O397" s="193" t="str">
        <f t="shared" si="26"/>
        <v/>
      </c>
      <c r="P397" s="195" t="str">
        <f t="shared" si="27"/>
        <v/>
      </c>
      <c r="Q397" s="230"/>
      <c r="R397" s="229"/>
      <c r="S397" s="231"/>
      <c r="T397" s="229"/>
      <c r="U397" s="196">
        <v>396</v>
      </c>
    </row>
    <row r="398" spans="1:21" ht="15" customHeight="1">
      <c r="A398" s="190" t="str">
        <f t="shared" si="24"/>
        <v>397- -W</v>
      </c>
      <c r="B398" s="123"/>
      <c r="C398" s="125"/>
      <c r="D398" s="190" t="str" cm="1">
        <f t="array" ref="D398">IFERROR(VLOOKUP(C398,Old_Model_Registry!$B$2:$K$500,{3,10,8,9},0),"")</f>
        <v/>
      </c>
      <c r="E398" s="190"/>
      <c r="F398" s="190"/>
      <c r="G398" s="191"/>
      <c r="H398" s="192">
        <f t="shared" si="25"/>
        <v>0</v>
      </c>
      <c r="I398" s="121"/>
      <c r="J398" s="193" t="str" cm="1">
        <f t="array" ref="J398">IF(I398="No-Retrofit",F398,IFERROR(VLOOKUP(I398,Vstack!$A$2:$L$1000,{8},0),""))</f>
        <v/>
      </c>
      <c r="K398" s="224" t="str" cm="1">
        <f t="array" ref="K398">IF(I398="No-Retrofit",F398,IFERROR(VLOOKUP(I398,Vstack!$A$2:$L$1000,{9},0)*N398,""))</f>
        <v/>
      </c>
      <c r="L398" s="193" t="str" cm="1">
        <f t="array" ref="L398">IF(I398="No-Retrofit",F398,IFERROR(VLOOKUP(I398,Vstack!$A$2:$L$1000,{10,4},0),""))</f>
        <v/>
      </c>
      <c r="M398" s="193"/>
      <c r="N398" s="121"/>
      <c r="O398" s="193" t="str">
        <f t="shared" si="26"/>
        <v/>
      </c>
      <c r="P398" s="195" t="str">
        <f t="shared" si="27"/>
        <v/>
      </c>
      <c r="Q398" s="230"/>
      <c r="R398" s="229"/>
      <c r="S398" s="231"/>
      <c r="T398" s="229"/>
      <c r="U398" s="196">
        <v>397</v>
      </c>
    </row>
    <row r="399" spans="1:21" ht="15" customHeight="1">
      <c r="A399" s="190" t="str">
        <f t="shared" si="24"/>
        <v>398- -W</v>
      </c>
      <c r="B399" s="123"/>
      <c r="C399" s="125"/>
      <c r="D399" s="190" t="str" cm="1">
        <f t="array" ref="D399">IFERROR(VLOOKUP(C399,Old_Model_Registry!$B$2:$K$500,{3,10,8,9},0),"")</f>
        <v/>
      </c>
      <c r="E399" s="190"/>
      <c r="F399" s="190"/>
      <c r="G399" s="191"/>
      <c r="H399" s="192">
        <f t="shared" si="25"/>
        <v>0</v>
      </c>
      <c r="I399" s="121"/>
      <c r="J399" s="193" t="str" cm="1">
        <f t="array" ref="J399">IF(I399="No-Retrofit",F399,IFERROR(VLOOKUP(I399,Vstack!$A$2:$L$1000,{8},0),""))</f>
        <v/>
      </c>
      <c r="K399" s="224" t="str" cm="1">
        <f t="array" ref="K399">IF(I399="No-Retrofit",F399,IFERROR(VLOOKUP(I399,Vstack!$A$2:$L$1000,{9},0)*N399,""))</f>
        <v/>
      </c>
      <c r="L399" s="193" t="str" cm="1">
        <f t="array" ref="L399">IF(I399="No-Retrofit",F399,IFERROR(VLOOKUP(I399,Vstack!$A$2:$L$1000,{10,4},0),""))</f>
        <v/>
      </c>
      <c r="M399" s="193"/>
      <c r="N399" s="121"/>
      <c r="O399" s="193" t="str">
        <f t="shared" si="26"/>
        <v/>
      </c>
      <c r="P399" s="195" t="str">
        <f t="shared" si="27"/>
        <v/>
      </c>
      <c r="Q399" s="230"/>
      <c r="R399" s="229"/>
      <c r="S399" s="231"/>
      <c r="T399" s="229"/>
      <c r="U399" s="196">
        <v>398</v>
      </c>
    </row>
    <row r="400" spans="1:21" ht="15" customHeight="1">
      <c r="A400" s="190" t="str">
        <f t="shared" si="24"/>
        <v>399- -W</v>
      </c>
      <c r="B400" s="123"/>
      <c r="C400" s="125"/>
      <c r="D400" s="190" t="str" cm="1">
        <f t="array" ref="D400">IFERROR(VLOOKUP(C400,Old_Model_Registry!$B$2:$K$500,{3,10,8,9},0),"")</f>
        <v/>
      </c>
      <c r="E400" s="190"/>
      <c r="F400" s="190"/>
      <c r="G400" s="191"/>
      <c r="H400" s="192">
        <f t="shared" si="25"/>
        <v>0</v>
      </c>
      <c r="I400" s="121"/>
      <c r="J400" s="193" t="str" cm="1">
        <f t="array" ref="J400">IF(I400="No-Retrofit",F400,IFERROR(VLOOKUP(I400,Vstack!$A$2:$L$1000,{8},0),""))</f>
        <v/>
      </c>
      <c r="K400" s="224" t="str" cm="1">
        <f t="array" ref="K400">IF(I400="No-Retrofit",F400,IFERROR(VLOOKUP(I400,Vstack!$A$2:$L$1000,{9},0)*N400,""))</f>
        <v/>
      </c>
      <c r="L400" s="193" t="str" cm="1">
        <f t="array" ref="L400">IF(I400="No-Retrofit",F400,IFERROR(VLOOKUP(I400,Vstack!$A$2:$L$1000,{10,4},0),""))</f>
        <v/>
      </c>
      <c r="M400" s="193"/>
      <c r="N400" s="121"/>
      <c r="O400" s="193" t="str">
        <f t="shared" si="26"/>
        <v/>
      </c>
      <c r="P400" s="195" t="str">
        <f t="shared" si="27"/>
        <v/>
      </c>
      <c r="Q400" s="230"/>
      <c r="R400" s="229"/>
      <c r="S400" s="231"/>
      <c r="T400" s="229"/>
      <c r="U400" s="196">
        <v>399</v>
      </c>
    </row>
    <row r="401" spans="1:21" ht="15" customHeight="1">
      <c r="A401" s="190" t="str">
        <f t="shared" si="24"/>
        <v>400- -W</v>
      </c>
      <c r="B401" s="123"/>
      <c r="C401" s="125"/>
      <c r="D401" s="190" t="str" cm="1">
        <f t="array" ref="D401">IFERROR(VLOOKUP(C401,Old_Model_Registry!$B$2:$K$500,{3,10,8,9},0),"")</f>
        <v/>
      </c>
      <c r="E401" s="190"/>
      <c r="F401" s="190"/>
      <c r="G401" s="191"/>
      <c r="H401" s="192">
        <f t="shared" si="25"/>
        <v>0</v>
      </c>
      <c r="I401" s="121"/>
      <c r="J401" s="193" t="str" cm="1">
        <f t="array" ref="J401">IF(I401="No-Retrofit",F401,IFERROR(VLOOKUP(I401,Vstack!$A$2:$L$1000,{8},0),""))</f>
        <v/>
      </c>
      <c r="K401" s="224" t="str" cm="1">
        <f t="array" ref="K401">IF(I401="No-Retrofit",F401,IFERROR(VLOOKUP(I401,Vstack!$A$2:$L$1000,{9},0)*N401,""))</f>
        <v/>
      </c>
      <c r="L401" s="193" t="str" cm="1">
        <f t="array" ref="L401">IF(I401="No-Retrofit",F401,IFERROR(VLOOKUP(I401,Vstack!$A$2:$L$1000,{10,4},0),""))</f>
        <v/>
      </c>
      <c r="M401" s="193"/>
      <c r="N401" s="121"/>
      <c r="O401" s="193" t="str">
        <f t="shared" si="26"/>
        <v/>
      </c>
      <c r="P401" s="195" t="str">
        <f t="shared" si="27"/>
        <v/>
      </c>
      <c r="Q401" s="230"/>
      <c r="R401" s="229"/>
      <c r="S401" s="231"/>
      <c r="T401" s="229"/>
      <c r="U401" s="196">
        <v>400</v>
      </c>
    </row>
    <row r="402" spans="1:21" ht="15" customHeight="1">
      <c r="A402" s="190" t="str">
        <f t="shared" si="24"/>
        <v>401- -W</v>
      </c>
      <c r="B402" s="123"/>
      <c r="C402" s="125"/>
      <c r="D402" s="190" t="str" cm="1">
        <f t="array" ref="D402">IFERROR(VLOOKUP(C402,Old_Model_Registry!$B$2:$K$500,{3,10,8,9},0),"")</f>
        <v/>
      </c>
      <c r="E402" s="190"/>
      <c r="F402" s="190"/>
      <c r="G402" s="191"/>
      <c r="H402" s="192">
        <f t="shared" si="25"/>
        <v>0</v>
      </c>
      <c r="I402" s="121"/>
      <c r="J402" s="193" t="str" cm="1">
        <f t="array" ref="J402">IF(I402="No-Retrofit",F402,IFERROR(VLOOKUP(I402,Vstack!$A$2:$L$1000,{8},0),""))</f>
        <v/>
      </c>
      <c r="K402" s="224" t="str" cm="1">
        <f t="array" ref="K402">IF(I402="No-Retrofit",F402,IFERROR(VLOOKUP(I402,Vstack!$A$2:$L$1000,{9},0)*N402,""))</f>
        <v/>
      </c>
      <c r="L402" s="193" t="str" cm="1">
        <f t="array" ref="L402">IF(I402="No-Retrofit",F402,IFERROR(VLOOKUP(I402,Vstack!$A$2:$L$1000,{10,4},0),""))</f>
        <v/>
      </c>
      <c r="M402" s="193"/>
      <c r="N402" s="121"/>
      <c r="O402" s="193" t="str">
        <f t="shared" si="26"/>
        <v/>
      </c>
      <c r="P402" s="195" t="str">
        <f t="shared" si="27"/>
        <v/>
      </c>
      <c r="Q402" s="230"/>
      <c r="R402" s="229"/>
      <c r="S402" s="231"/>
      <c r="T402" s="229"/>
      <c r="U402" s="196">
        <v>401</v>
      </c>
    </row>
    <row r="403" spans="1:21" ht="15" customHeight="1">
      <c r="A403" s="190" t="str">
        <f t="shared" si="24"/>
        <v>402- -W</v>
      </c>
      <c r="B403" s="123"/>
      <c r="C403" s="125"/>
      <c r="D403" s="190" t="str" cm="1">
        <f t="array" ref="D403">IFERROR(VLOOKUP(C403,Old_Model_Registry!$B$2:$K$500,{3,10,8,9},0),"")</f>
        <v/>
      </c>
      <c r="E403" s="190"/>
      <c r="F403" s="190"/>
      <c r="G403" s="191"/>
      <c r="H403" s="192">
        <f t="shared" si="25"/>
        <v>0</v>
      </c>
      <c r="I403" s="121"/>
      <c r="J403" s="193" t="str" cm="1">
        <f t="array" ref="J403">IF(I403="No-Retrofit",F403,IFERROR(VLOOKUP(I403,Vstack!$A$2:$L$1000,{8},0),""))</f>
        <v/>
      </c>
      <c r="K403" s="224" t="str" cm="1">
        <f t="array" ref="K403">IF(I403="No-Retrofit",F403,IFERROR(VLOOKUP(I403,Vstack!$A$2:$L$1000,{9},0)*N403,""))</f>
        <v/>
      </c>
      <c r="L403" s="193" t="str" cm="1">
        <f t="array" ref="L403">IF(I403="No-Retrofit",F403,IFERROR(VLOOKUP(I403,Vstack!$A$2:$L$1000,{10,4},0),""))</f>
        <v/>
      </c>
      <c r="M403" s="193"/>
      <c r="N403" s="121"/>
      <c r="O403" s="193" t="str">
        <f t="shared" si="26"/>
        <v/>
      </c>
      <c r="P403" s="195" t="str">
        <f t="shared" si="27"/>
        <v/>
      </c>
      <c r="Q403" s="230"/>
      <c r="R403" s="229"/>
      <c r="S403" s="231"/>
      <c r="T403" s="229"/>
      <c r="U403" s="196">
        <v>402</v>
      </c>
    </row>
    <row r="404" spans="1:21" ht="15" customHeight="1">
      <c r="A404" s="190" t="str">
        <f t="shared" si="24"/>
        <v>403- -W</v>
      </c>
      <c r="B404" s="123"/>
      <c r="C404" s="125"/>
      <c r="D404" s="190" t="str" cm="1">
        <f t="array" ref="D404">IFERROR(VLOOKUP(C404,Old_Model_Registry!$B$2:$K$500,{3,10,8,9},0),"")</f>
        <v/>
      </c>
      <c r="E404" s="190"/>
      <c r="F404" s="190"/>
      <c r="G404" s="191"/>
      <c r="H404" s="192">
        <f t="shared" si="25"/>
        <v>0</v>
      </c>
      <c r="I404" s="121"/>
      <c r="J404" s="193" t="str" cm="1">
        <f t="array" ref="J404">IF(I404="No-Retrofit",F404,IFERROR(VLOOKUP(I404,Vstack!$A$2:$L$1000,{8},0),""))</f>
        <v/>
      </c>
      <c r="K404" s="224" t="str" cm="1">
        <f t="array" ref="K404">IF(I404="No-Retrofit",F404,IFERROR(VLOOKUP(I404,Vstack!$A$2:$L$1000,{9},0)*N404,""))</f>
        <v/>
      </c>
      <c r="L404" s="193" t="str" cm="1">
        <f t="array" ref="L404">IF(I404="No-Retrofit",F404,IFERROR(VLOOKUP(I404,Vstack!$A$2:$L$1000,{10,4},0),""))</f>
        <v/>
      </c>
      <c r="M404" s="193"/>
      <c r="N404" s="121"/>
      <c r="O404" s="193" t="str">
        <f t="shared" si="26"/>
        <v/>
      </c>
      <c r="P404" s="195" t="str">
        <f t="shared" si="27"/>
        <v/>
      </c>
      <c r="Q404" s="230"/>
      <c r="R404" s="229"/>
      <c r="S404" s="231"/>
      <c r="T404" s="229"/>
      <c r="U404" s="196">
        <v>403</v>
      </c>
    </row>
    <row r="405" spans="1:21" ht="15" customHeight="1">
      <c r="A405" s="190" t="str">
        <f t="shared" si="24"/>
        <v>404- -W</v>
      </c>
      <c r="B405" s="123"/>
      <c r="C405" s="125"/>
      <c r="D405" s="190" t="str" cm="1">
        <f t="array" ref="D405">IFERROR(VLOOKUP(C405,Old_Model_Registry!$B$2:$K$500,{3,10,8,9},0),"")</f>
        <v/>
      </c>
      <c r="E405" s="190"/>
      <c r="F405" s="190"/>
      <c r="G405" s="191"/>
      <c r="H405" s="192">
        <f t="shared" si="25"/>
        <v>0</v>
      </c>
      <c r="I405" s="121"/>
      <c r="J405" s="193" t="str" cm="1">
        <f t="array" ref="J405">IF(I405="No-Retrofit",F405,IFERROR(VLOOKUP(I405,Vstack!$A$2:$L$1000,{8},0),""))</f>
        <v/>
      </c>
      <c r="K405" s="224" t="str" cm="1">
        <f t="array" ref="K405">IF(I405="No-Retrofit",F405,IFERROR(VLOOKUP(I405,Vstack!$A$2:$L$1000,{9},0)*N405,""))</f>
        <v/>
      </c>
      <c r="L405" s="193" t="str" cm="1">
        <f t="array" ref="L405">IF(I405="No-Retrofit",F405,IFERROR(VLOOKUP(I405,Vstack!$A$2:$L$1000,{10,4},0),""))</f>
        <v/>
      </c>
      <c r="M405" s="193"/>
      <c r="N405" s="121"/>
      <c r="O405" s="193" t="str">
        <f t="shared" si="26"/>
        <v/>
      </c>
      <c r="P405" s="195" t="str">
        <f t="shared" si="27"/>
        <v/>
      </c>
      <c r="Q405" s="230"/>
      <c r="R405" s="229"/>
      <c r="S405" s="231"/>
      <c r="T405" s="229"/>
      <c r="U405" s="196">
        <v>404</v>
      </c>
    </row>
    <row r="406" spans="1:21" ht="15" customHeight="1">
      <c r="A406" s="190" t="str">
        <f t="shared" si="24"/>
        <v>405- -W</v>
      </c>
      <c r="B406" s="123"/>
      <c r="C406" s="125"/>
      <c r="D406" s="190" t="str" cm="1">
        <f t="array" ref="D406">IFERROR(VLOOKUP(C406,Old_Model_Registry!$B$2:$K$500,{3,10,8,9},0),"")</f>
        <v/>
      </c>
      <c r="E406" s="190"/>
      <c r="F406" s="190"/>
      <c r="G406" s="191"/>
      <c r="H406" s="192">
        <f t="shared" si="25"/>
        <v>0</v>
      </c>
      <c r="I406" s="121"/>
      <c r="J406" s="193" t="str" cm="1">
        <f t="array" ref="J406">IF(I406="No-Retrofit",F406,IFERROR(VLOOKUP(I406,Vstack!$A$2:$L$1000,{8},0),""))</f>
        <v/>
      </c>
      <c r="K406" s="224" t="str" cm="1">
        <f t="array" ref="K406">IF(I406="No-Retrofit",F406,IFERROR(VLOOKUP(I406,Vstack!$A$2:$L$1000,{9},0)*N406,""))</f>
        <v/>
      </c>
      <c r="L406" s="193" t="str" cm="1">
        <f t="array" ref="L406">IF(I406="No-Retrofit",F406,IFERROR(VLOOKUP(I406,Vstack!$A$2:$L$1000,{10,4},0),""))</f>
        <v/>
      </c>
      <c r="M406" s="193"/>
      <c r="N406" s="121"/>
      <c r="O406" s="193" t="str">
        <f t="shared" si="26"/>
        <v/>
      </c>
      <c r="P406" s="195" t="str">
        <f t="shared" si="27"/>
        <v/>
      </c>
      <c r="Q406" s="230"/>
      <c r="R406" s="229"/>
      <c r="S406" s="231"/>
      <c r="T406" s="229"/>
      <c r="U406" s="196">
        <v>405</v>
      </c>
    </row>
    <row r="407" spans="1:21" ht="15" customHeight="1">
      <c r="A407" s="190" t="str">
        <f t="shared" si="24"/>
        <v>406- -W</v>
      </c>
      <c r="B407" s="123"/>
      <c r="C407" s="125"/>
      <c r="D407" s="190" t="str" cm="1">
        <f t="array" ref="D407">IFERROR(VLOOKUP(C407,Old_Model_Registry!$B$2:$K$500,{3,10,8,9},0),"")</f>
        <v/>
      </c>
      <c r="E407" s="190"/>
      <c r="F407" s="190"/>
      <c r="G407" s="191"/>
      <c r="H407" s="192">
        <f t="shared" si="25"/>
        <v>0</v>
      </c>
      <c r="I407" s="121"/>
      <c r="J407" s="193" t="str" cm="1">
        <f t="array" ref="J407">IF(I407="No-Retrofit",F407,IFERROR(VLOOKUP(I407,Vstack!$A$2:$L$1000,{8},0),""))</f>
        <v/>
      </c>
      <c r="K407" s="224" t="str" cm="1">
        <f t="array" ref="K407">IF(I407="No-Retrofit",F407,IFERROR(VLOOKUP(I407,Vstack!$A$2:$L$1000,{9},0)*N407,""))</f>
        <v/>
      </c>
      <c r="L407" s="193" t="str" cm="1">
        <f t="array" ref="L407">IF(I407="No-Retrofit",F407,IFERROR(VLOOKUP(I407,Vstack!$A$2:$L$1000,{10,4},0),""))</f>
        <v/>
      </c>
      <c r="M407" s="193"/>
      <c r="N407" s="121"/>
      <c r="O407" s="193" t="str">
        <f t="shared" si="26"/>
        <v/>
      </c>
      <c r="P407" s="195" t="str">
        <f t="shared" si="27"/>
        <v/>
      </c>
      <c r="Q407" s="230"/>
      <c r="R407" s="229"/>
      <c r="S407" s="231"/>
      <c r="T407" s="229"/>
      <c r="U407" s="196">
        <v>406</v>
      </c>
    </row>
    <row r="408" spans="1:21" ht="15" customHeight="1">
      <c r="A408" s="190" t="str">
        <f t="shared" si="24"/>
        <v>407- -W</v>
      </c>
      <c r="B408" s="123"/>
      <c r="C408" s="125"/>
      <c r="D408" s="190" t="str" cm="1">
        <f t="array" ref="D408">IFERROR(VLOOKUP(C408,Old_Model_Registry!$B$2:$K$500,{3,10,8,9},0),"")</f>
        <v/>
      </c>
      <c r="E408" s="190"/>
      <c r="F408" s="190"/>
      <c r="G408" s="191"/>
      <c r="H408" s="192">
        <f t="shared" si="25"/>
        <v>0</v>
      </c>
      <c r="I408" s="121"/>
      <c r="J408" s="193" t="str" cm="1">
        <f t="array" ref="J408">IF(I408="No-Retrofit",F408,IFERROR(VLOOKUP(I408,Vstack!$A$2:$L$1000,{8},0),""))</f>
        <v/>
      </c>
      <c r="K408" s="224" t="str" cm="1">
        <f t="array" ref="K408">IF(I408="No-Retrofit",F408,IFERROR(VLOOKUP(I408,Vstack!$A$2:$L$1000,{9},0)*N408,""))</f>
        <v/>
      </c>
      <c r="L408" s="193" t="str" cm="1">
        <f t="array" ref="L408">IF(I408="No-Retrofit",F408,IFERROR(VLOOKUP(I408,Vstack!$A$2:$L$1000,{10,4},0),""))</f>
        <v/>
      </c>
      <c r="M408" s="193"/>
      <c r="N408" s="121"/>
      <c r="O408" s="193" t="str">
        <f t="shared" si="26"/>
        <v/>
      </c>
      <c r="P408" s="195" t="str">
        <f t="shared" si="27"/>
        <v/>
      </c>
      <c r="Q408" s="230"/>
      <c r="R408" s="229"/>
      <c r="S408" s="231"/>
      <c r="T408" s="229"/>
      <c r="U408" s="196">
        <v>407</v>
      </c>
    </row>
    <row r="409" spans="1:21" ht="15" customHeight="1">
      <c r="A409" s="190" t="str">
        <f t="shared" si="24"/>
        <v>408- -W</v>
      </c>
      <c r="B409" s="123"/>
      <c r="C409" s="125"/>
      <c r="D409" s="190" t="str" cm="1">
        <f t="array" ref="D409">IFERROR(VLOOKUP(C409,Old_Model_Registry!$B$2:$K$500,{3,10,8,9},0),"")</f>
        <v/>
      </c>
      <c r="E409" s="190"/>
      <c r="F409" s="190"/>
      <c r="G409" s="191"/>
      <c r="H409" s="192">
        <f t="shared" si="25"/>
        <v>0</v>
      </c>
      <c r="I409" s="121"/>
      <c r="J409" s="193" t="str" cm="1">
        <f t="array" ref="J409">IF(I409="No-Retrofit",F409,IFERROR(VLOOKUP(I409,Vstack!$A$2:$L$1000,{8},0),""))</f>
        <v/>
      </c>
      <c r="K409" s="224" t="str" cm="1">
        <f t="array" ref="K409">IF(I409="No-Retrofit",F409,IFERROR(VLOOKUP(I409,Vstack!$A$2:$L$1000,{9},0)*N409,""))</f>
        <v/>
      </c>
      <c r="L409" s="193" t="str" cm="1">
        <f t="array" ref="L409">IF(I409="No-Retrofit",F409,IFERROR(VLOOKUP(I409,Vstack!$A$2:$L$1000,{10,4},0),""))</f>
        <v/>
      </c>
      <c r="M409" s="193"/>
      <c r="N409" s="121"/>
      <c r="O409" s="193" t="str">
        <f t="shared" si="26"/>
        <v/>
      </c>
      <c r="P409" s="195" t="str">
        <f t="shared" si="27"/>
        <v/>
      </c>
      <c r="Q409" s="230"/>
      <c r="R409" s="229"/>
      <c r="S409" s="231"/>
      <c r="T409" s="229"/>
      <c r="U409" s="196">
        <v>408</v>
      </c>
    </row>
    <row r="410" spans="1:21" ht="15" customHeight="1">
      <c r="A410" s="190" t="str">
        <f t="shared" si="24"/>
        <v>409- -W</v>
      </c>
      <c r="B410" s="123"/>
      <c r="C410" s="125"/>
      <c r="D410" s="190" t="str" cm="1">
        <f t="array" ref="D410">IFERROR(VLOOKUP(C410,Old_Model_Registry!$B$2:$K$500,{3,10,8,9},0),"")</f>
        <v/>
      </c>
      <c r="E410" s="190"/>
      <c r="F410" s="190"/>
      <c r="G410" s="191"/>
      <c r="H410" s="192">
        <f t="shared" si="25"/>
        <v>0</v>
      </c>
      <c r="I410" s="121"/>
      <c r="J410" s="193" t="str" cm="1">
        <f t="array" ref="J410">IF(I410="No-Retrofit",F410,IFERROR(VLOOKUP(I410,Vstack!$A$2:$L$1000,{8},0),""))</f>
        <v/>
      </c>
      <c r="K410" s="224" t="str" cm="1">
        <f t="array" ref="K410">IF(I410="No-Retrofit",F410,IFERROR(VLOOKUP(I410,Vstack!$A$2:$L$1000,{9},0)*N410,""))</f>
        <v/>
      </c>
      <c r="L410" s="193" t="str" cm="1">
        <f t="array" ref="L410">IF(I410="No-Retrofit",F410,IFERROR(VLOOKUP(I410,Vstack!$A$2:$L$1000,{10,4},0),""))</f>
        <v/>
      </c>
      <c r="M410" s="193"/>
      <c r="N410" s="121"/>
      <c r="O410" s="193" t="str">
        <f t="shared" si="26"/>
        <v/>
      </c>
      <c r="P410" s="195" t="str">
        <f t="shared" si="27"/>
        <v/>
      </c>
      <c r="Q410" s="230"/>
      <c r="R410" s="229"/>
      <c r="S410" s="231"/>
      <c r="T410" s="229"/>
      <c r="U410" s="196">
        <v>409</v>
      </c>
    </row>
    <row r="411" spans="1:21" ht="15" customHeight="1">
      <c r="A411" s="190" t="str">
        <f t="shared" si="24"/>
        <v>410- -W</v>
      </c>
      <c r="B411" s="123"/>
      <c r="C411" s="125"/>
      <c r="D411" s="190" t="str" cm="1">
        <f t="array" ref="D411">IFERROR(VLOOKUP(C411,Old_Model_Registry!$B$2:$K$500,{3,10,8,9},0),"")</f>
        <v/>
      </c>
      <c r="E411" s="190"/>
      <c r="F411" s="190"/>
      <c r="G411" s="191"/>
      <c r="H411" s="192">
        <f t="shared" si="25"/>
        <v>0</v>
      </c>
      <c r="I411" s="121"/>
      <c r="J411" s="193" t="str" cm="1">
        <f t="array" ref="J411">IF(I411="No-Retrofit",F411,IFERROR(VLOOKUP(I411,Vstack!$A$2:$L$1000,{8},0),""))</f>
        <v/>
      </c>
      <c r="K411" s="224" t="str" cm="1">
        <f t="array" ref="K411">IF(I411="No-Retrofit",F411,IFERROR(VLOOKUP(I411,Vstack!$A$2:$L$1000,{9},0)*N411,""))</f>
        <v/>
      </c>
      <c r="L411" s="193" t="str" cm="1">
        <f t="array" ref="L411">IF(I411="No-Retrofit",F411,IFERROR(VLOOKUP(I411,Vstack!$A$2:$L$1000,{10,4},0),""))</f>
        <v/>
      </c>
      <c r="M411" s="193"/>
      <c r="N411" s="121"/>
      <c r="O411" s="193" t="str">
        <f t="shared" si="26"/>
        <v/>
      </c>
      <c r="P411" s="195" t="str">
        <f t="shared" si="27"/>
        <v/>
      </c>
      <c r="Q411" s="230"/>
      <c r="R411" s="229"/>
      <c r="S411" s="231"/>
      <c r="T411" s="229"/>
      <c r="U411" s="196">
        <v>410</v>
      </c>
    </row>
    <row r="412" spans="1:21" ht="15" customHeight="1">
      <c r="A412" s="190" t="str">
        <f t="shared" si="24"/>
        <v>411- -W</v>
      </c>
      <c r="B412" s="123"/>
      <c r="C412" s="125"/>
      <c r="D412" s="190" t="str" cm="1">
        <f t="array" ref="D412">IFERROR(VLOOKUP(C412,Old_Model_Registry!$B$2:$K$500,{3,10,8,9},0),"")</f>
        <v/>
      </c>
      <c r="E412" s="190"/>
      <c r="F412" s="190"/>
      <c r="G412" s="191"/>
      <c r="H412" s="192">
        <f t="shared" si="25"/>
        <v>0</v>
      </c>
      <c r="I412" s="121"/>
      <c r="J412" s="193" t="str" cm="1">
        <f t="array" ref="J412">IF(I412="No-Retrofit",F412,IFERROR(VLOOKUP(I412,Vstack!$A$2:$L$1000,{8},0),""))</f>
        <v/>
      </c>
      <c r="K412" s="224" t="str" cm="1">
        <f t="array" ref="K412">IF(I412="No-Retrofit",F412,IFERROR(VLOOKUP(I412,Vstack!$A$2:$L$1000,{9},0)*N412,""))</f>
        <v/>
      </c>
      <c r="L412" s="193" t="str" cm="1">
        <f t="array" ref="L412">IF(I412="No-Retrofit",F412,IFERROR(VLOOKUP(I412,Vstack!$A$2:$L$1000,{10,4},0),""))</f>
        <v/>
      </c>
      <c r="M412" s="193"/>
      <c r="N412" s="121"/>
      <c r="O412" s="193" t="str">
        <f t="shared" si="26"/>
        <v/>
      </c>
      <c r="P412" s="195" t="str">
        <f t="shared" si="27"/>
        <v/>
      </c>
      <c r="Q412" s="230"/>
      <c r="R412" s="229"/>
      <c r="S412" s="231"/>
      <c r="T412" s="229"/>
      <c r="U412" s="196">
        <v>411</v>
      </c>
    </row>
    <row r="413" spans="1:21" ht="15" customHeight="1">
      <c r="A413" s="190" t="str">
        <f t="shared" si="24"/>
        <v>412- -W</v>
      </c>
      <c r="B413" s="123"/>
      <c r="C413" s="125"/>
      <c r="D413" s="190" t="str" cm="1">
        <f t="array" ref="D413">IFERROR(VLOOKUP(C413,Old_Model_Registry!$B$2:$K$500,{3,10,8,9},0),"")</f>
        <v/>
      </c>
      <c r="E413" s="190"/>
      <c r="F413" s="190"/>
      <c r="G413" s="191"/>
      <c r="H413" s="192">
        <f t="shared" si="25"/>
        <v>0</v>
      </c>
      <c r="I413" s="121"/>
      <c r="J413" s="193" t="str" cm="1">
        <f t="array" ref="J413">IF(I413="No-Retrofit",F413,IFERROR(VLOOKUP(I413,Vstack!$A$2:$L$1000,{8},0),""))</f>
        <v/>
      </c>
      <c r="K413" s="224" t="str" cm="1">
        <f t="array" ref="K413">IF(I413="No-Retrofit",F413,IFERROR(VLOOKUP(I413,Vstack!$A$2:$L$1000,{9},0)*N413,""))</f>
        <v/>
      </c>
      <c r="L413" s="193" t="str" cm="1">
        <f t="array" ref="L413">IF(I413="No-Retrofit",F413,IFERROR(VLOOKUP(I413,Vstack!$A$2:$L$1000,{10,4},0),""))</f>
        <v/>
      </c>
      <c r="M413" s="193"/>
      <c r="N413" s="121"/>
      <c r="O413" s="193" t="str">
        <f t="shared" si="26"/>
        <v/>
      </c>
      <c r="P413" s="195" t="str">
        <f t="shared" si="27"/>
        <v/>
      </c>
      <c r="Q413" s="230"/>
      <c r="R413" s="229"/>
      <c r="S413" s="231"/>
      <c r="T413" s="229"/>
      <c r="U413" s="196">
        <v>412</v>
      </c>
    </row>
    <row r="414" spans="1:21" ht="15" customHeight="1">
      <c r="A414" s="190" t="str">
        <f t="shared" si="24"/>
        <v>413- -W</v>
      </c>
      <c r="B414" s="123"/>
      <c r="C414" s="125"/>
      <c r="D414" s="190" t="str" cm="1">
        <f t="array" ref="D414">IFERROR(VLOOKUP(C414,Old_Model_Registry!$B$2:$K$500,{3,10,8,9},0),"")</f>
        <v/>
      </c>
      <c r="E414" s="190"/>
      <c r="F414" s="190"/>
      <c r="G414" s="191"/>
      <c r="H414" s="192">
        <f t="shared" si="25"/>
        <v>0</v>
      </c>
      <c r="I414" s="121"/>
      <c r="J414" s="193" t="str" cm="1">
        <f t="array" ref="J414">IF(I414="No-Retrofit",F414,IFERROR(VLOOKUP(I414,Vstack!$A$2:$L$1000,{8},0),""))</f>
        <v/>
      </c>
      <c r="K414" s="224" t="str" cm="1">
        <f t="array" ref="K414">IF(I414="No-Retrofit",F414,IFERROR(VLOOKUP(I414,Vstack!$A$2:$L$1000,{9},0)*N414,""))</f>
        <v/>
      </c>
      <c r="L414" s="193" t="str" cm="1">
        <f t="array" ref="L414">IF(I414="No-Retrofit",F414,IFERROR(VLOOKUP(I414,Vstack!$A$2:$L$1000,{10,4},0),""))</f>
        <v/>
      </c>
      <c r="M414" s="193"/>
      <c r="N414" s="121"/>
      <c r="O414" s="193" t="str">
        <f t="shared" si="26"/>
        <v/>
      </c>
      <c r="P414" s="195" t="str">
        <f t="shared" si="27"/>
        <v/>
      </c>
      <c r="Q414" s="230"/>
      <c r="R414" s="229"/>
      <c r="S414" s="231"/>
      <c r="T414" s="229"/>
      <c r="U414" s="196">
        <v>413</v>
      </c>
    </row>
    <row r="415" spans="1:21" ht="15" customHeight="1">
      <c r="A415" s="190" t="str">
        <f t="shared" si="24"/>
        <v>414- -W</v>
      </c>
      <c r="B415" s="123"/>
      <c r="C415" s="125"/>
      <c r="D415" s="190" t="str" cm="1">
        <f t="array" ref="D415">IFERROR(VLOOKUP(C415,Old_Model_Registry!$B$2:$K$500,{3,10,8,9},0),"")</f>
        <v/>
      </c>
      <c r="E415" s="190"/>
      <c r="F415" s="190"/>
      <c r="G415" s="191"/>
      <c r="H415" s="192">
        <f t="shared" si="25"/>
        <v>0</v>
      </c>
      <c r="I415" s="121"/>
      <c r="J415" s="193" t="str" cm="1">
        <f t="array" ref="J415">IF(I415="No-Retrofit",F415,IFERROR(VLOOKUP(I415,Vstack!$A$2:$L$1000,{8},0),""))</f>
        <v/>
      </c>
      <c r="K415" s="224" t="str" cm="1">
        <f t="array" ref="K415">IF(I415="No-Retrofit",F415,IFERROR(VLOOKUP(I415,Vstack!$A$2:$L$1000,{9},0)*N415,""))</f>
        <v/>
      </c>
      <c r="L415" s="193" t="str" cm="1">
        <f t="array" ref="L415">IF(I415="No-Retrofit",F415,IFERROR(VLOOKUP(I415,Vstack!$A$2:$L$1000,{10,4},0),""))</f>
        <v/>
      </c>
      <c r="M415" s="193"/>
      <c r="N415" s="121"/>
      <c r="O415" s="193" t="str">
        <f t="shared" si="26"/>
        <v/>
      </c>
      <c r="P415" s="195" t="str">
        <f t="shared" si="27"/>
        <v/>
      </c>
      <c r="Q415" s="230"/>
      <c r="R415" s="229"/>
      <c r="S415" s="231"/>
      <c r="T415" s="229"/>
      <c r="U415" s="196">
        <v>414</v>
      </c>
    </row>
    <row r="416" spans="1:21" ht="15" customHeight="1">
      <c r="A416" s="190" t="str">
        <f t="shared" si="24"/>
        <v>415- -W</v>
      </c>
      <c r="B416" s="123"/>
      <c r="C416" s="125"/>
      <c r="D416" s="190" t="str" cm="1">
        <f t="array" ref="D416">IFERROR(VLOOKUP(C416,Old_Model_Registry!$B$2:$K$500,{3,10,8,9},0),"")</f>
        <v/>
      </c>
      <c r="E416" s="190"/>
      <c r="F416" s="190"/>
      <c r="G416" s="191"/>
      <c r="H416" s="192">
        <f t="shared" si="25"/>
        <v>0</v>
      </c>
      <c r="I416" s="121"/>
      <c r="J416" s="193" t="str" cm="1">
        <f t="array" ref="J416">IF(I416="No-Retrofit",F416,IFERROR(VLOOKUP(I416,Vstack!$A$2:$L$1000,{8},0),""))</f>
        <v/>
      </c>
      <c r="K416" s="224" t="str" cm="1">
        <f t="array" ref="K416">IF(I416="No-Retrofit",F416,IFERROR(VLOOKUP(I416,Vstack!$A$2:$L$1000,{9},0)*N416,""))</f>
        <v/>
      </c>
      <c r="L416" s="193" t="str" cm="1">
        <f t="array" ref="L416">IF(I416="No-Retrofit",F416,IFERROR(VLOOKUP(I416,Vstack!$A$2:$L$1000,{10,4},0),""))</f>
        <v/>
      </c>
      <c r="M416" s="193"/>
      <c r="N416" s="121"/>
      <c r="O416" s="193" t="str">
        <f t="shared" si="26"/>
        <v/>
      </c>
      <c r="P416" s="195" t="str">
        <f t="shared" si="27"/>
        <v/>
      </c>
      <c r="Q416" s="230"/>
      <c r="R416" s="229"/>
      <c r="S416" s="231"/>
      <c r="T416" s="229"/>
      <c r="U416" s="196">
        <v>415</v>
      </c>
    </row>
    <row r="417" spans="1:21" ht="15" customHeight="1">
      <c r="A417" s="190" t="str">
        <f t="shared" si="24"/>
        <v>416- -W</v>
      </c>
      <c r="B417" s="123"/>
      <c r="C417" s="125"/>
      <c r="D417" s="190" t="str" cm="1">
        <f t="array" ref="D417">IFERROR(VLOOKUP(C417,Old_Model_Registry!$B$2:$K$500,{3,10,8,9},0),"")</f>
        <v/>
      </c>
      <c r="E417" s="190"/>
      <c r="F417" s="190"/>
      <c r="G417" s="191"/>
      <c r="H417" s="192">
        <f t="shared" si="25"/>
        <v>0</v>
      </c>
      <c r="I417" s="121"/>
      <c r="J417" s="193" t="str" cm="1">
        <f t="array" ref="J417">IF(I417="No-Retrofit",F417,IFERROR(VLOOKUP(I417,Vstack!$A$2:$L$1000,{8},0),""))</f>
        <v/>
      </c>
      <c r="K417" s="224" t="str" cm="1">
        <f t="array" ref="K417">IF(I417="No-Retrofit",F417,IFERROR(VLOOKUP(I417,Vstack!$A$2:$L$1000,{9},0)*N417,""))</f>
        <v/>
      </c>
      <c r="L417" s="193" t="str" cm="1">
        <f t="array" ref="L417">IF(I417="No-Retrofit",F417,IFERROR(VLOOKUP(I417,Vstack!$A$2:$L$1000,{10,4},0),""))</f>
        <v/>
      </c>
      <c r="M417" s="193"/>
      <c r="N417" s="121"/>
      <c r="O417" s="193" t="str">
        <f t="shared" si="26"/>
        <v/>
      </c>
      <c r="P417" s="195" t="str">
        <f t="shared" si="27"/>
        <v/>
      </c>
      <c r="Q417" s="230"/>
      <c r="R417" s="229"/>
      <c r="S417" s="231"/>
      <c r="T417" s="229"/>
      <c r="U417" s="196">
        <v>416</v>
      </c>
    </row>
    <row r="418" spans="1:21" ht="15" customHeight="1">
      <c r="A418" s="190" t="str">
        <f t="shared" si="24"/>
        <v>417- -W</v>
      </c>
      <c r="B418" s="123"/>
      <c r="C418" s="125"/>
      <c r="D418" s="190" t="str" cm="1">
        <f t="array" ref="D418">IFERROR(VLOOKUP(C418,Old_Model_Registry!$B$2:$K$500,{3,10,8,9},0),"")</f>
        <v/>
      </c>
      <c r="E418" s="190"/>
      <c r="F418" s="190"/>
      <c r="G418" s="191"/>
      <c r="H418" s="192">
        <f t="shared" si="25"/>
        <v>0</v>
      </c>
      <c r="I418" s="121"/>
      <c r="J418" s="193" t="str" cm="1">
        <f t="array" ref="J418">IF(I418="No-Retrofit",F418,IFERROR(VLOOKUP(I418,Vstack!$A$2:$L$1000,{8},0),""))</f>
        <v/>
      </c>
      <c r="K418" s="224" t="str" cm="1">
        <f t="array" ref="K418">IF(I418="No-Retrofit",F418,IFERROR(VLOOKUP(I418,Vstack!$A$2:$L$1000,{9},0)*N418,""))</f>
        <v/>
      </c>
      <c r="L418" s="193" t="str" cm="1">
        <f t="array" ref="L418">IF(I418="No-Retrofit",F418,IFERROR(VLOOKUP(I418,Vstack!$A$2:$L$1000,{10,4},0),""))</f>
        <v/>
      </c>
      <c r="M418" s="193"/>
      <c r="N418" s="121"/>
      <c r="O418" s="193" t="str">
        <f t="shared" si="26"/>
        <v/>
      </c>
      <c r="P418" s="195" t="str">
        <f t="shared" si="27"/>
        <v/>
      </c>
      <c r="Q418" s="230"/>
      <c r="R418" s="229"/>
      <c r="S418" s="231"/>
      <c r="T418" s="229"/>
      <c r="U418" s="196">
        <v>417</v>
      </c>
    </row>
    <row r="419" spans="1:21" ht="15" customHeight="1">
      <c r="A419" s="190" t="str">
        <f t="shared" si="24"/>
        <v>418- -W</v>
      </c>
      <c r="B419" s="123"/>
      <c r="C419" s="125"/>
      <c r="D419" s="190" t="str" cm="1">
        <f t="array" ref="D419">IFERROR(VLOOKUP(C419,Old_Model_Registry!$B$2:$K$500,{3,10,8,9},0),"")</f>
        <v/>
      </c>
      <c r="E419" s="190"/>
      <c r="F419" s="190"/>
      <c r="G419" s="191"/>
      <c r="H419" s="192">
        <f t="shared" si="25"/>
        <v>0</v>
      </c>
      <c r="I419" s="121"/>
      <c r="J419" s="193" t="str" cm="1">
        <f t="array" ref="J419">IF(I419="No-Retrofit",F419,IFERROR(VLOOKUP(I419,Vstack!$A$2:$L$1000,{8},0),""))</f>
        <v/>
      </c>
      <c r="K419" s="224" t="str" cm="1">
        <f t="array" ref="K419">IF(I419="No-Retrofit",F419,IFERROR(VLOOKUP(I419,Vstack!$A$2:$L$1000,{9},0)*N419,""))</f>
        <v/>
      </c>
      <c r="L419" s="193" t="str" cm="1">
        <f t="array" ref="L419">IF(I419="No-Retrofit",F419,IFERROR(VLOOKUP(I419,Vstack!$A$2:$L$1000,{10,4},0),""))</f>
        <v/>
      </c>
      <c r="M419" s="193"/>
      <c r="N419" s="121"/>
      <c r="O419" s="193" t="str">
        <f t="shared" si="26"/>
        <v/>
      </c>
      <c r="P419" s="195" t="str">
        <f t="shared" si="27"/>
        <v/>
      </c>
      <c r="Q419" s="230"/>
      <c r="R419" s="229"/>
      <c r="S419" s="231"/>
      <c r="T419" s="229"/>
      <c r="U419" s="196">
        <v>418</v>
      </c>
    </row>
    <row r="420" spans="1:21" ht="15" customHeight="1">
      <c r="A420" s="190" t="str">
        <f t="shared" si="24"/>
        <v>419- -W</v>
      </c>
      <c r="B420" s="123"/>
      <c r="C420" s="125"/>
      <c r="D420" s="190" t="str" cm="1">
        <f t="array" ref="D420">IFERROR(VLOOKUP(C420,Old_Model_Registry!$B$2:$K$500,{3,10,8,9},0),"")</f>
        <v/>
      </c>
      <c r="E420" s="190"/>
      <c r="F420" s="190"/>
      <c r="G420" s="191"/>
      <c r="H420" s="192">
        <f t="shared" si="25"/>
        <v>0</v>
      </c>
      <c r="I420" s="121"/>
      <c r="J420" s="193" t="str" cm="1">
        <f t="array" ref="J420">IF(I420="No-Retrofit",F420,IFERROR(VLOOKUP(I420,Vstack!$A$2:$L$1000,{8},0),""))</f>
        <v/>
      </c>
      <c r="K420" s="224" t="str" cm="1">
        <f t="array" ref="K420">IF(I420="No-Retrofit",F420,IFERROR(VLOOKUP(I420,Vstack!$A$2:$L$1000,{9},0)*N420,""))</f>
        <v/>
      </c>
      <c r="L420" s="193" t="str" cm="1">
        <f t="array" ref="L420">IF(I420="No-Retrofit",F420,IFERROR(VLOOKUP(I420,Vstack!$A$2:$L$1000,{10,4},0),""))</f>
        <v/>
      </c>
      <c r="M420" s="193"/>
      <c r="N420" s="121"/>
      <c r="O420" s="193" t="str">
        <f t="shared" si="26"/>
        <v/>
      </c>
      <c r="P420" s="195" t="str">
        <f t="shared" si="27"/>
        <v/>
      </c>
      <c r="Q420" s="230"/>
      <c r="R420" s="229"/>
      <c r="S420" s="231"/>
      <c r="T420" s="229"/>
      <c r="U420" s="196">
        <v>419</v>
      </c>
    </row>
    <row r="421" spans="1:21" ht="15" customHeight="1">
      <c r="A421" s="190" t="str">
        <f t="shared" si="24"/>
        <v>420- -W</v>
      </c>
      <c r="B421" s="123"/>
      <c r="C421" s="125"/>
      <c r="D421" s="190" t="str" cm="1">
        <f t="array" ref="D421">IFERROR(VLOOKUP(C421,Old_Model_Registry!$B$2:$K$500,{3,10,8,9},0),"")</f>
        <v/>
      </c>
      <c r="E421" s="190"/>
      <c r="F421" s="190"/>
      <c r="G421" s="191"/>
      <c r="H421" s="192">
        <f t="shared" si="25"/>
        <v>0</v>
      </c>
      <c r="I421" s="121"/>
      <c r="J421" s="193" t="str" cm="1">
        <f t="array" ref="J421">IF(I421="No-Retrofit",F421,IFERROR(VLOOKUP(I421,Vstack!$A$2:$L$1000,{8},0),""))</f>
        <v/>
      </c>
      <c r="K421" s="224" t="str" cm="1">
        <f t="array" ref="K421">IF(I421="No-Retrofit",F421,IFERROR(VLOOKUP(I421,Vstack!$A$2:$L$1000,{9},0)*N421,""))</f>
        <v/>
      </c>
      <c r="L421" s="193" t="str" cm="1">
        <f t="array" ref="L421">IF(I421="No-Retrofit",F421,IFERROR(VLOOKUP(I421,Vstack!$A$2:$L$1000,{10,4},0),""))</f>
        <v/>
      </c>
      <c r="M421" s="193"/>
      <c r="N421" s="121"/>
      <c r="O421" s="193" t="str">
        <f t="shared" si="26"/>
        <v/>
      </c>
      <c r="P421" s="195" t="str">
        <f t="shared" si="27"/>
        <v/>
      </c>
      <c r="Q421" s="230"/>
      <c r="R421" s="229"/>
      <c r="S421" s="231"/>
      <c r="T421" s="229"/>
      <c r="U421" s="196">
        <v>420</v>
      </c>
    </row>
    <row r="422" spans="1:21" ht="15" customHeight="1">
      <c r="A422" s="190" t="str">
        <f t="shared" si="24"/>
        <v>421- -W</v>
      </c>
      <c r="B422" s="123"/>
      <c r="C422" s="125"/>
      <c r="D422" s="190" t="str" cm="1">
        <f t="array" ref="D422">IFERROR(VLOOKUP(C422,Old_Model_Registry!$B$2:$K$500,{3,10,8,9},0),"")</f>
        <v/>
      </c>
      <c r="E422" s="190"/>
      <c r="F422" s="190"/>
      <c r="G422" s="191"/>
      <c r="H422" s="192">
        <f t="shared" si="25"/>
        <v>0</v>
      </c>
      <c r="I422" s="121"/>
      <c r="J422" s="193" t="str" cm="1">
        <f t="array" ref="J422">IF(I422="No-Retrofit",F422,IFERROR(VLOOKUP(I422,Vstack!$A$2:$L$1000,{8},0),""))</f>
        <v/>
      </c>
      <c r="K422" s="224" t="str" cm="1">
        <f t="array" ref="K422">IF(I422="No-Retrofit",F422,IFERROR(VLOOKUP(I422,Vstack!$A$2:$L$1000,{9},0)*N422,""))</f>
        <v/>
      </c>
      <c r="L422" s="193" t="str" cm="1">
        <f t="array" ref="L422">IF(I422="No-Retrofit",F422,IFERROR(VLOOKUP(I422,Vstack!$A$2:$L$1000,{10,4},0),""))</f>
        <v/>
      </c>
      <c r="M422" s="193"/>
      <c r="N422" s="121"/>
      <c r="O422" s="193" t="str">
        <f t="shared" si="26"/>
        <v/>
      </c>
      <c r="P422" s="195" t="str">
        <f t="shared" si="27"/>
        <v/>
      </c>
      <c r="Q422" s="230"/>
      <c r="R422" s="229"/>
      <c r="S422" s="231"/>
      <c r="T422" s="229"/>
      <c r="U422" s="196">
        <v>421</v>
      </c>
    </row>
    <row r="423" spans="1:21" ht="15" customHeight="1">
      <c r="A423" s="190" t="str">
        <f t="shared" si="24"/>
        <v>422- -W</v>
      </c>
      <c r="B423" s="123"/>
      <c r="C423" s="125"/>
      <c r="D423" s="190" t="str" cm="1">
        <f t="array" ref="D423">IFERROR(VLOOKUP(C423,Old_Model_Registry!$B$2:$K$500,{3,10,8,9},0),"")</f>
        <v/>
      </c>
      <c r="E423" s="190"/>
      <c r="F423" s="190"/>
      <c r="G423" s="191"/>
      <c r="H423" s="192">
        <f t="shared" si="25"/>
        <v>0</v>
      </c>
      <c r="I423" s="121"/>
      <c r="J423" s="193" t="str" cm="1">
        <f t="array" ref="J423">IF(I423="No-Retrofit",F423,IFERROR(VLOOKUP(I423,Vstack!$A$2:$L$1000,{8},0),""))</f>
        <v/>
      </c>
      <c r="K423" s="224" t="str" cm="1">
        <f t="array" ref="K423">IF(I423="No-Retrofit",F423,IFERROR(VLOOKUP(I423,Vstack!$A$2:$L$1000,{9},0)*N423,""))</f>
        <v/>
      </c>
      <c r="L423" s="193" t="str" cm="1">
        <f t="array" ref="L423">IF(I423="No-Retrofit",F423,IFERROR(VLOOKUP(I423,Vstack!$A$2:$L$1000,{10,4},0),""))</f>
        <v/>
      </c>
      <c r="M423" s="193"/>
      <c r="N423" s="121"/>
      <c r="O423" s="193" t="str">
        <f t="shared" si="26"/>
        <v/>
      </c>
      <c r="P423" s="195" t="str">
        <f t="shared" si="27"/>
        <v/>
      </c>
      <c r="Q423" s="230"/>
      <c r="R423" s="229"/>
      <c r="S423" s="231"/>
      <c r="T423" s="229"/>
      <c r="U423" s="196">
        <v>422</v>
      </c>
    </row>
    <row r="424" spans="1:21" ht="15" customHeight="1">
      <c r="A424" s="190" t="str">
        <f t="shared" si="24"/>
        <v>423- -W</v>
      </c>
      <c r="B424" s="123"/>
      <c r="C424" s="125"/>
      <c r="D424" s="190" t="str" cm="1">
        <f t="array" ref="D424">IFERROR(VLOOKUP(C424,Old_Model_Registry!$B$2:$K$500,{3,10,8,9},0),"")</f>
        <v/>
      </c>
      <c r="E424" s="190"/>
      <c r="F424" s="190"/>
      <c r="G424" s="191"/>
      <c r="H424" s="192">
        <f t="shared" si="25"/>
        <v>0</v>
      </c>
      <c r="I424" s="121"/>
      <c r="J424" s="193" t="str" cm="1">
        <f t="array" ref="J424">IF(I424="No-Retrofit",F424,IFERROR(VLOOKUP(I424,Vstack!$A$2:$L$1000,{8},0),""))</f>
        <v/>
      </c>
      <c r="K424" s="224" t="str" cm="1">
        <f t="array" ref="K424">IF(I424="No-Retrofit",F424,IFERROR(VLOOKUP(I424,Vstack!$A$2:$L$1000,{9},0)*N424,""))</f>
        <v/>
      </c>
      <c r="L424" s="193" t="str" cm="1">
        <f t="array" ref="L424">IF(I424="No-Retrofit",F424,IFERROR(VLOOKUP(I424,Vstack!$A$2:$L$1000,{10,4},0),""))</f>
        <v/>
      </c>
      <c r="M424" s="193"/>
      <c r="N424" s="121"/>
      <c r="O424" s="193" t="str">
        <f t="shared" si="26"/>
        <v/>
      </c>
      <c r="P424" s="195" t="str">
        <f t="shared" si="27"/>
        <v/>
      </c>
      <c r="Q424" s="230"/>
      <c r="R424" s="229"/>
      <c r="S424" s="231"/>
      <c r="T424" s="229"/>
      <c r="U424" s="196">
        <v>423</v>
      </c>
    </row>
    <row r="425" spans="1:21" ht="15" customHeight="1">
      <c r="A425" s="190" t="str">
        <f t="shared" si="24"/>
        <v>424- -W</v>
      </c>
      <c r="B425" s="123"/>
      <c r="C425" s="125"/>
      <c r="D425" s="190" t="str" cm="1">
        <f t="array" ref="D425">IFERROR(VLOOKUP(C425,Old_Model_Registry!$B$2:$K$500,{3,10,8,9},0),"")</f>
        <v/>
      </c>
      <c r="E425" s="190"/>
      <c r="F425" s="190"/>
      <c r="G425" s="191"/>
      <c r="H425" s="192">
        <f t="shared" si="25"/>
        <v>0</v>
      </c>
      <c r="I425" s="121"/>
      <c r="J425" s="193" t="str" cm="1">
        <f t="array" ref="J425">IF(I425="No-Retrofit",F425,IFERROR(VLOOKUP(I425,Vstack!$A$2:$L$1000,{8},0),""))</f>
        <v/>
      </c>
      <c r="K425" s="224" t="str" cm="1">
        <f t="array" ref="K425">IF(I425="No-Retrofit",F425,IFERROR(VLOOKUP(I425,Vstack!$A$2:$L$1000,{9},0)*N425,""))</f>
        <v/>
      </c>
      <c r="L425" s="193" t="str" cm="1">
        <f t="array" ref="L425">IF(I425="No-Retrofit",F425,IFERROR(VLOOKUP(I425,Vstack!$A$2:$L$1000,{10,4},0),""))</f>
        <v/>
      </c>
      <c r="M425" s="193"/>
      <c r="N425" s="121"/>
      <c r="O425" s="193" t="str">
        <f t="shared" si="26"/>
        <v/>
      </c>
      <c r="P425" s="195" t="str">
        <f t="shared" si="27"/>
        <v/>
      </c>
      <c r="Q425" s="230"/>
      <c r="R425" s="229"/>
      <c r="S425" s="231"/>
      <c r="T425" s="229"/>
      <c r="U425" s="196">
        <v>424</v>
      </c>
    </row>
    <row r="426" spans="1:21" ht="15" customHeight="1">
      <c r="A426" s="190" t="str">
        <f t="shared" si="24"/>
        <v>425- -W</v>
      </c>
      <c r="B426" s="123"/>
      <c r="C426" s="125"/>
      <c r="D426" s="190" t="str" cm="1">
        <f t="array" ref="D426">IFERROR(VLOOKUP(C426,Old_Model_Registry!$B$2:$K$500,{3,10,8,9},0),"")</f>
        <v/>
      </c>
      <c r="E426" s="190"/>
      <c r="F426" s="190"/>
      <c r="G426" s="191"/>
      <c r="H426" s="192">
        <f t="shared" si="25"/>
        <v>0</v>
      </c>
      <c r="I426" s="121"/>
      <c r="J426" s="193" t="str" cm="1">
        <f t="array" ref="J426">IF(I426="No-Retrofit",F426,IFERROR(VLOOKUP(I426,Vstack!$A$2:$L$1000,{8},0),""))</f>
        <v/>
      </c>
      <c r="K426" s="224" t="str" cm="1">
        <f t="array" ref="K426">IF(I426="No-Retrofit",F426,IFERROR(VLOOKUP(I426,Vstack!$A$2:$L$1000,{9},0)*N426,""))</f>
        <v/>
      </c>
      <c r="L426" s="193" t="str" cm="1">
        <f t="array" ref="L426">IF(I426="No-Retrofit",F426,IFERROR(VLOOKUP(I426,Vstack!$A$2:$L$1000,{10,4},0),""))</f>
        <v/>
      </c>
      <c r="M426" s="193"/>
      <c r="N426" s="121"/>
      <c r="O426" s="193" t="str">
        <f t="shared" si="26"/>
        <v/>
      </c>
      <c r="P426" s="195" t="str">
        <f t="shared" si="27"/>
        <v/>
      </c>
      <c r="Q426" s="230"/>
      <c r="R426" s="229"/>
      <c r="S426" s="231"/>
      <c r="T426" s="229"/>
      <c r="U426" s="196">
        <v>425</v>
      </c>
    </row>
    <row r="427" spans="1:21" ht="15" customHeight="1">
      <c r="A427" s="190" t="str">
        <f t="shared" si="24"/>
        <v>426- -W</v>
      </c>
      <c r="B427" s="123"/>
      <c r="C427" s="125"/>
      <c r="D427" s="190" t="str" cm="1">
        <f t="array" ref="D427">IFERROR(VLOOKUP(C427,Old_Model_Registry!$B$2:$K$500,{3,10,8,9},0),"")</f>
        <v/>
      </c>
      <c r="E427" s="190"/>
      <c r="F427" s="190"/>
      <c r="G427" s="191"/>
      <c r="H427" s="192">
        <f t="shared" si="25"/>
        <v>0</v>
      </c>
      <c r="I427" s="121"/>
      <c r="J427" s="193" t="str" cm="1">
        <f t="array" ref="J427">IF(I427="No-Retrofit",F427,IFERROR(VLOOKUP(I427,Vstack!$A$2:$L$1000,{8},0),""))</f>
        <v/>
      </c>
      <c r="K427" s="224" t="str" cm="1">
        <f t="array" ref="K427">IF(I427="No-Retrofit",F427,IFERROR(VLOOKUP(I427,Vstack!$A$2:$L$1000,{9},0)*N427,""))</f>
        <v/>
      </c>
      <c r="L427" s="193" t="str" cm="1">
        <f t="array" ref="L427">IF(I427="No-Retrofit",F427,IFERROR(VLOOKUP(I427,Vstack!$A$2:$L$1000,{10,4},0),""))</f>
        <v/>
      </c>
      <c r="M427" s="193"/>
      <c r="N427" s="121"/>
      <c r="O427" s="193" t="str">
        <f t="shared" si="26"/>
        <v/>
      </c>
      <c r="P427" s="195" t="str">
        <f t="shared" si="27"/>
        <v/>
      </c>
      <c r="Q427" s="230"/>
      <c r="R427" s="229"/>
      <c r="S427" s="231"/>
      <c r="T427" s="229"/>
      <c r="U427" s="196">
        <v>426</v>
      </c>
    </row>
    <row r="428" spans="1:21" ht="15" customHeight="1">
      <c r="A428" s="190" t="str">
        <f t="shared" si="24"/>
        <v>427- -W</v>
      </c>
      <c r="B428" s="123"/>
      <c r="C428" s="125"/>
      <c r="D428" s="190" t="str" cm="1">
        <f t="array" ref="D428">IFERROR(VLOOKUP(C428,Old_Model_Registry!$B$2:$K$500,{3,10,8,9},0),"")</f>
        <v/>
      </c>
      <c r="E428" s="190"/>
      <c r="F428" s="190"/>
      <c r="G428" s="191"/>
      <c r="H428" s="192">
        <f t="shared" si="25"/>
        <v>0</v>
      </c>
      <c r="I428" s="121"/>
      <c r="J428" s="193" t="str" cm="1">
        <f t="array" ref="J428">IF(I428="No-Retrofit",F428,IFERROR(VLOOKUP(I428,Vstack!$A$2:$L$1000,{8},0),""))</f>
        <v/>
      </c>
      <c r="K428" s="224" t="str" cm="1">
        <f t="array" ref="K428">IF(I428="No-Retrofit",F428,IFERROR(VLOOKUP(I428,Vstack!$A$2:$L$1000,{9},0)*N428,""))</f>
        <v/>
      </c>
      <c r="L428" s="193" t="str" cm="1">
        <f t="array" ref="L428">IF(I428="No-Retrofit",F428,IFERROR(VLOOKUP(I428,Vstack!$A$2:$L$1000,{10,4},0),""))</f>
        <v/>
      </c>
      <c r="M428" s="193"/>
      <c r="N428" s="121"/>
      <c r="O428" s="193" t="str">
        <f t="shared" si="26"/>
        <v/>
      </c>
      <c r="P428" s="195" t="str">
        <f t="shared" si="27"/>
        <v/>
      </c>
      <c r="Q428" s="230"/>
      <c r="R428" s="229"/>
      <c r="S428" s="231"/>
      <c r="T428" s="229"/>
      <c r="U428" s="196">
        <v>427</v>
      </c>
    </row>
    <row r="429" spans="1:21" ht="15" customHeight="1">
      <c r="A429" s="190" t="str">
        <f t="shared" si="24"/>
        <v>428- -W</v>
      </c>
      <c r="B429" s="123"/>
      <c r="C429" s="125"/>
      <c r="D429" s="190" t="str" cm="1">
        <f t="array" ref="D429">IFERROR(VLOOKUP(C429,Old_Model_Registry!$B$2:$K$500,{3,10,8,9},0),"")</f>
        <v/>
      </c>
      <c r="E429" s="190"/>
      <c r="F429" s="190"/>
      <c r="G429" s="191"/>
      <c r="H429" s="192">
        <f t="shared" si="25"/>
        <v>0</v>
      </c>
      <c r="I429" s="121"/>
      <c r="J429" s="193" t="str" cm="1">
        <f t="array" ref="J429">IF(I429="No-Retrofit",F429,IFERROR(VLOOKUP(I429,Vstack!$A$2:$L$1000,{8},0),""))</f>
        <v/>
      </c>
      <c r="K429" s="224" t="str" cm="1">
        <f t="array" ref="K429">IF(I429="No-Retrofit",F429,IFERROR(VLOOKUP(I429,Vstack!$A$2:$L$1000,{9},0)*N429,""))</f>
        <v/>
      </c>
      <c r="L429" s="193" t="str" cm="1">
        <f t="array" ref="L429">IF(I429="No-Retrofit",F429,IFERROR(VLOOKUP(I429,Vstack!$A$2:$L$1000,{10,4},0),""))</f>
        <v/>
      </c>
      <c r="M429" s="193"/>
      <c r="N429" s="121"/>
      <c r="O429" s="193" t="str">
        <f t="shared" si="26"/>
        <v/>
      </c>
      <c r="P429" s="195" t="str">
        <f t="shared" si="27"/>
        <v/>
      </c>
      <c r="Q429" s="230"/>
      <c r="R429" s="229"/>
      <c r="S429" s="231"/>
      <c r="T429" s="229"/>
      <c r="U429" s="196">
        <v>428</v>
      </c>
    </row>
    <row r="430" spans="1:21" ht="15" customHeight="1">
      <c r="A430" s="190" t="str">
        <f t="shared" si="24"/>
        <v>429- -W</v>
      </c>
      <c r="B430" s="123"/>
      <c r="C430" s="125"/>
      <c r="D430" s="190" t="str" cm="1">
        <f t="array" ref="D430">IFERROR(VLOOKUP(C430,Old_Model_Registry!$B$2:$K$500,{3,10,8,9},0),"")</f>
        <v/>
      </c>
      <c r="E430" s="190"/>
      <c r="F430" s="190"/>
      <c r="G430" s="191"/>
      <c r="H430" s="192">
        <f t="shared" si="25"/>
        <v>0</v>
      </c>
      <c r="I430" s="121"/>
      <c r="J430" s="193" t="str" cm="1">
        <f t="array" ref="J430">IF(I430="No-Retrofit",F430,IFERROR(VLOOKUP(I430,Vstack!$A$2:$L$1000,{8},0),""))</f>
        <v/>
      </c>
      <c r="K430" s="224" t="str" cm="1">
        <f t="array" ref="K430">IF(I430="No-Retrofit",F430,IFERROR(VLOOKUP(I430,Vstack!$A$2:$L$1000,{9},0)*N430,""))</f>
        <v/>
      </c>
      <c r="L430" s="193" t="str" cm="1">
        <f t="array" ref="L430">IF(I430="No-Retrofit",F430,IFERROR(VLOOKUP(I430,Vstack!$A$2:$L$1000,{10,4},0),""))</f>
        <v/>
      </c>
      <c r="M430" s="193"/>
      <c r="N430" s="121"/>
      <c r="O430" s="193" t="str">
        <f t="shared" si="26"/>
        <v/>
      </c>
      <c r="P430" s="195" t="str">
        <f t="shared" si="27"/>
        <v/>
      </c>
      <c r="Q430" s="230"/>
      <c r="R430" s="229"/>
      <c r="S430" s="231"/>
      <c r="T430" s="229"/>
      <c r="U430" s="196">
        <v>429</v>
      </c>
    </row>
    <row r="431" spans="1:21" ht="15" customHeight="1">
      <c r="A431" s="190" t="str">
        <f t="shared" si="24"/>
        <v>430- -W</v>
      </c>
      <c r="B431" s="123"/>
      <c r="C431" s="125"/>
      <c r="D431" s="190" t="str" cm="1">
        <f t="array" ref="D431">IFERROR(VLOOKUP(C431,Old_Model_Registry!$B$2:$K$500,{3,10,8,9},0),"")</f>
        <v/>
      </c>
      <c r="E431" s="190"/>
      <c r="F431" s="190"/>
      <c r="G431" s="191"/>
      <c r="H431" s="192">
        <f t="shared" si="25"/>
        <v>0</v>
      </c>
      <c r="I431" s="121"/>
      <c r="J431" s="193" t="str" cm="1">
        <f t="array" ref="J431">IF(I431="No-Retrofit",F431,IFERROR(VLOOKUP(I431,Vstack!$A$2:$L$1000,{8},0),""))</f>
        <v/>
      </c>
      <c r="K431" s="224" t="str" cm="1">
        <f t="array" ref="K431">IF(I431="No-Retrofit",F431,IFERROR(VLOOKUP(I431,Vstack!$A$2:$L$1000,{9},0)*N431,""))</f>
        <v/>
      </c>
      <c r="L431" s="193" t="str" cm="1">
        <f t="array" ref="L431">IF(I431="No-Retrofit",F431,IFERROR(VLOOKUP(I431,Vstack!$A$2:$L$1000,{10,4},0),""))</f>
        <v/>
      </c>
      <c r="M431" s="193"/>
      <c r="N431" s="121"/>
      <c r="O431" s="193" t="str">
        <f t="shared" si="26"/>
        <v/>
      </c>
      <c r="P431" s="195" t="str">
        <f t="shared" si="27"/>
        <v/>
      </c>
      <c r="Q431" s="230"/>
      <c r="R431" s="229"/>
      <c r="S431" s="231"/>
      <c r="T431" s="229"/>
      <c r="U431" s="196">
        <v>430</v>
      </c>
    </row>
    <row r="432" spans="1:21" ht="15" customHeight="1">
      <c r="A432" s="190" t="str">
        <f t="shared" si="24"/>
        <v>431- -W</v>
      </c>
      <c r="B432" s="123"/>
      <c r="C432" s="125"/>
      <c r="D432" s="190" t="str" cm="1">
        <f t="array" ref="D432">IFERROR(VLOOKUP(C432,Old_Model_Registry!$B$2:$K$500,{3,10,8,9},0),"")</f>
        <v/>
      </c>
      <c r="E432" s="190"/>
      <c r="F432" s="190"/>
      <c r="G432" s="191"/>
      <c r="H432" s="192">
        <f t="shared" si="25"/>
        <v>0</v>
      </c>
      <c r="I432" s="121"/>
      <c r="J432" s="193" t="str" cm="1">
        <f t="array" ref="J432">IF(I432="No-Retrofit",F432,IFERROR(VLOOKUP(I432,Vstack!$A$2:$L$1000,{8},0),""))</f>
        <v/>
      </c>
      <c r="K432" s="224" t="str" cm="1">
        <f t="array" ref="K432">IF(I432="No-Retrofit",F432,IFERROR(VLOOKUP(I432,Vstack!$A$2:$L$1000,{9},0)*N432,""))</f>
        <v/>
      </c>
      <c r="L432" s="193" t="str" cm="1">
        <f t="array" ref="L432">IF(I432="No-Retrofit",F432,IFERROR(VLOOKUP(I432,Vstack!$A$2:$L$1000,{10,4},0),""))</f>
        <v/>
      </c>
      <c r="M432" s="193"/>
      <c r="N432" s="121"/>
      <c r="O432" s="193" t="str">
        <f t="shared" si="26"/>
        <v/>
      </c>
      <c r="P432" s="195" t="str">
        <f t="shared" si="27"/>
        <v/>
      </c>
      <c r="Q432" s="230"/>
      <c r="R432" s="229"/>
      <c r="S432" s="231"/>
      <c r="T432" s="229"/>
      <c r="U432" s="196">
        <v>431</v>
      </c>
    </row>
    <row r="433" spans="1:21" ht="15" customHeight="1">
      <c r="A433" s="190" t="str">
        <f t="shared" si="24"/>
        <v>432- -W</v>
      </c>
      <c r="B433" s="123"/>
      <c r="C433" s="125"/>
      <c r="D433" s="190" t="str" cm="1">
        <f t="array" ref="D433">IFERROR(VLOOKUP(C433,Old_Model_Registry!$B$2:$K$500,{3,10,8,9},0),"")</f>
        <v/>
      </c>
      <c r="E433" s="190"/>
      <c r="F433" s="190"/>
      <c r="G433" s="191"/>
      <c r="H433" s="192">
        <f t="shared" si="25"/>
        <v>0</v>
      </c>
      <c r="I433" s="121"/>
      <c r="J433" s="193" t="str" cm="1">
        <f t="array" ref="J433">IF(I433="No-Retrofit",F433,IFERROR(VLOOKUP(I433,Vstack!$A$2:$L$1000,{8},0),""))</f>
        <v/>
      </c>
      <c r="K433" s="224" t="str" cm="1">
        <f t="array" ref="K433">IF(I433="No-Retrofit",F433,IFERROR(VLOOKUP(I433,Vstack!$A$2:$L$1000,{9},0)*N433,""))</f>
        <v/>
      </c>
      <c r="L433" s="193" t="str" cm="1">
        <f t="array" ref="L433">IF(I433="No-Retrofit",F433,IFERROR(VLOOKUP(I433,Vstack!$A$2:$L$1000,{10,4},0),""))</f>
        <v/>
      </c>
      <c r="M433" s="193"/>
      <c r="N433" s="121"/>
      <c r="O433" s="193" t="str">
        <f t="shared" si="26"/>
        <v/>
      </c>
      <c r="P433" s="195" t="str">
        <f t="shared" si="27"/>
        <v/>
      </c>
      <c r="Q433" s="230"/>
      <c r="R433" s="229"/>
      <c r="S433" s="231"/>
      <c r="T433" s="229"/>
      <c r="U433" s="196">
        <v>432</v>
      </c>
    </row>
    <row r="434" spans="1:21" ht="15" customHeight="1">
      <c r="A434" s="190" t="str">
        <f t="shared" si="24"/>
        <v>433- -W</v>
      </c>
      <c r="B434" s="123"/>
      <c r="C434" s="125"/>
      <c r="D434" s="190" t="str" cm="1">
        <f t="array" ref="D434">IFERROR(VLOOKUP(C434,Old_Model_Registry!$B$2:$K$500,{3,10,8,9},0),"")</f>
        <v/>
      </c>
      <c r="E434" s="190"/>
      <c r="F434" s="190"/>
      <c r="G434" s="191"/>
      <c r="H434" s="192">
        <f t="shared" si="25"/>
        <v>0</v>
      </c>
      <c r="I434" s="121"/>
      <c r="J434" s="193" t="str" cm="1">
        <f t="array" ref="J434">IF(I434="No-Retrofit",F434,IFERROR(VLOOKUP(I434,Vstack!$A$2:$L$1000,{8},0),""))</f>
        <v/>
      </c>
      <c r="K434" s="224" t="str" cm="1">
        <f t="array" ref="K434">IF(I434="No-Retrofit",F434,IFERROR(VLOOKUP(I434,Vstack!$A$2:$L$1000,{9},0)*N434,""))</f>
        <v/>
      </c>
      <c r="L434" s="193" t="str" cm="1">
        <f t="array" ref="L434">IF(I434="No-Retrofit",F434,IFERROR(VLOOKUP(I434,Vstack!$A$2:$L$1000,{10,4},0),""))</f>
        <v/>
      </c>
      <c r="M434" s="193"/>
      <c r="N434" s="121"/>
      <c r="O434" s="193" t="str">
        <f t="shared" si="26"/>
        <v/>
      </c>
      <c r="P434" s="195" t="str">
        <f t="shared" si="27"/>
        <v/>
      </c>
      <c r="Q434" s="230"/>
      <c r="R434" s="229"/>
      <c r="S434" s="231"/>
      <c r="T434" s="229"/>
      <c r="U434" s="196">
        <v>433</v>
      </c>
    </row>
    <row r="435" spans="1:21" ht="15" customHeight="1">
      <c r="A435" s="190" t="str">
        <f t="shared" si="24"/>
        <v>434- -W</v>
      </c>
      <c r="B435" s="123"/>
      <c r="C435" s="125"/>
      <c r="D435" s="190" t="str" cm="1">
        <f t="array" ref="D435">IFERROR(VLOOKUP(C435,Old_Model_Registry!$B$2:$K$500,{3,10,8,9},0),"")</f>
        <v/>
      </c>
      <c r="E435" s="190"/>
      <c r="F435" s="190"/>
      <c r="G435" s="191"/>
      <c r="H435" s="192">
        <f t="shared" si="25"/>
        <v>0</v>
      </c>
      <c r="I435" s="121"/>
      <c r="J435" s="193" t="str" cm="1">
        <f t="array" ref="J435">IF(I435="No-Retrofit",F435,IFERROR(VLOOKUP(I435,Vstack!$A$2:$L$1000,{8},0),""))</f>
        <v/>
      </c>
      <c r="K435" s="224" t="str" cm="1">
        <f t="array" ref="K435">IF(I435="No-Retrofit",F435,IFERROR(VLOOKUP(I435,Vstack!$A$2:$L$1000,{9},0)*N435,""))</f>
        <v/>
      </c>
      <c r="L435" s="193" t="str" cm="1">
        <f t="array" ref="L435">IF(I435="No-Retrofit",F435,IFERROR(VLOOKUP(I435,Vstack!$A$2:$L$1000,{10,4},0),""))</f>
        <v/>
      </c>
      <c r="M435" s="193"/>
      <c r="N435" s="121"/>
      <c r="O435" s="193" t="str">
        <f t="shared" si="26"/>
        <v/>
      </c>
      <c r="P435" s="195" t="str">
        <f t="shared" si="27"/>
        <v/>
      </c>
      <c r="Q435" s="230"/>
      <c r="R435" s="229"/>
      <c r="S435" s="231"/>
      <c r="T435" s="229"/>
      <c r="U435" s="196">
        <v>434</v>
      </c>
    </row>
    <row r="436" spans="1:21" ht="15" customHeight="1">
      <c r="A436" s="190" t="str">
        <f t="shared" si="24"/>
        <v>435- -W</v>
      </c>
      <c r="B436" s="123"/>
      <c r="C436" s="125"/>
      <c r="D436" s="190" t="str" cm="1">
        <f t="array" ref="D436">IFERROR(VLOOKUP(C436,Old_Model_Registry!$B$2:$K$500,{3,10,8,9},0),"")</f>
        <v/>
      </c>
      <c r="E436" s="190"/>
      <c r="F436" s="190"/>
      <c r="G436" s="191"/>
      <c r="H436" s="192">
        <f t="shared" si="25"/>
        <v>0</v>
      </c>
      <c r="I436" s="121"/>
      <c r="J436" s="193" t="str" cm="1">
        <f t="array" ref="J436">IF(I436="No-Retrofit",F436,IFERROR(VLOOKUP(I436,Vstack!$A$2:$L$1000,{8},0),""))</f>
        <v/>
      </c>
      <c r="K436" s="224" t="str" cm="1">
        <f t="array" ref="K436">IF(I436="No-Retrofit",F436,IFERROR(VLOOKUP(I436,Vstack!$A$2:$L$1000,{9},0)*N436,""))</f>
        <v/>
      </c>
      <c r="L436" s="193" t="str" cm="1">
        <f t="array" ref="L436">IF(I436="No-Retrofit",F436,IFERROR(VLOOKUP(I436,Vstack!$A$2:$L$1000,{10,4},0),""))</f>
        <v/>
      </c>
      <c r="M436" s="193"/>
      <c r="N436" s="121"/>
      <c r="O436" s="193" t="str">
        <f t="shared" si="26"/>
        <v/>
      </c>
      <c r="P436" s="195" t="str">
        <f t="shared" si="27"/>
        <v/>
      </c>
      <c r="Q436" s="230"/>
      <c r="R436" s="229"/>
      <c r="S436" s="231"/>
      <c r="T436" s="229"/>
      <c r="U436" s="196">
        <v>435</v>
      </c>
    </row>
    <row r="437" spans="1:21" ht="15" customHeight="1">
      <c r="A437" s="190" t="str">
        <f t="shared" si="24"/>
        <v>436- -W</v>
      </c>
      <c r="B437" s="123"/>
      <c r="C437" s="125"/>
      <c r="D437" s="190" t="str" cm="1">
        <f t="array" ref="D437">IFERROR(VLOOKUP(C437,Old_Model_Registry!$B$2:$K$500,{3,10,8,9},0),"")</f>
        <v/>
      </c>
      <c r="E437" s="190"/>
      <c r="F437" s="190"/>
      <c r="G437" s="191"/>
      <c r="H437" s="192">
        <f t="shared" si="25"/>
        <v>0</v>
      </c>
      <c r="I437" s="121"/>
      <c r="J437" s="193" t="str" cm="1">
        <f t="array" ref="J437">IF(I437="No-Retrofit",F437,IFERROR(VLOOKUP(I437,Vstack!$A$2:$L$1000,{8},0),""))</f>
        <v/>
      </c>
      <c r="K437" s="224" t="str" cm="1">
        <f t="array" ref="K437">IF(I437="No-Retrofit",F437,IFERROR(VLOOKUP(I437,Vstack!$A$2:$L$1000,{9},0)*N437,""))</f>
        <v/>
      </c>
      <c r="L437" s="193" t="str" cm="1">
        <f t="array" ref="L437">IF(I437="No-Retrofit",F437,IFERROR(VLOOKUP(I437,Vstack!$A$2:$L$1000,{10,4},0),""))</f>
        <v/>
      </c>
      <c r="M437" s="193"/>
      <c r="N437" s="121"/>
      <c r="O437" s="193" t="str">
        <f t="shared" si="26"/>
        <v/>
      </c>
      <c r="P437" s="195" t="str">
        <f t="shared" si="27"/>
        <v/>
      </c>
      <c r="Q437" s="230"/>
      <c r="R437" s="229"/>
      <c r="S437" s="231"/>
      <c r="T437" s="229"/>
      <c r="U437" s="196">
        <v>436</v>
      </c>
    </row>
    <row r="438" spans="1:21" ht="15" customHeight="1">
      <c r="A438" s="190" t="str">
        <f t="shared" si="24"/>
        <v>437- -W</v>
      </c>
      <c r="B438" s="123"/>
      <c r="C438" s="125"/>
      <c r="D438" s="190" t="str" cm="1">
        <f t="array" ref="D438">IFERROR(VLOOKUP(C438,Old_Model_Registry!$B$2:$K$500,{3,10,8,9},0),"")</f>
        <v/>
      </c>
      <c r="E438" s="190"/>
      <c r="F438" s="190"/>
      <c r="G438" s="191"/>
      <c r="H438" s="192">
        <f t="shared" si="25"/>
        <v>0</v>
      </c>
      <c r="I438" s="121"/>
      <c r="J438" s="193" t="str" cm="1">
        <f t="array" ref="J438">IF(I438="No-Retrofit",F438,IFERROR(VLOOKUP(I438,Vstack!$A$2:$L$1000,{8},0),""))</f>
        <v/>
      </c>
      <c r="K438" s="224" t="str" cm="1">
        <f t="array" ref="K438">IF(I438="No-Retrofit",F438,IFERROR(VLOOKUP(I438,Vstack!$A$2:$L$1000,{9},0)*N438,""))</f>
        <v/>
      </c>
      <c r="L438" s="193" t="str" cm="1">
        <f t="array" ref="L438">IF(I438="No-Retrofit",F438,IFERROR(VLOOKUP(I438,Vstack!$A$2:$L$1000,{10,4},0),""))</f>
        <v/>
      </c>
      <c r="M438" s="193"/>
      <c r="N438" s="121"/>
      <c r="O438" s="193" t="str">
        <f t="shared" si="26"/>
        <v/>
      </c>
      <c r="P438" s="195" t="str">
        <f t="shared" si="27"/>
        <v/>
      </c>
      <c r="Q438" s="230"/>
      <c r="R438" s="229"/>
      <c r="S438" s="231"/>
      <c r="T438" s="229"/>
      <c r="U438" s="196">
        <v>437</v>
      </c>
    </row>
    <row r="439" spans="1:21" ht="15" customHeight="1">
      <c r="A439" s="190" t="str">
        <f t="shared" si="24"/>
        <v>438- -W</v>
      </c>
      <c r="B439" s="123"/>
      <c r="C439" s="125"/>
      <c r="D439" s="190" t="str" cm="1">
        <f t="array" ref="D439">IFERROR(VLOOKUP(C439,Old_Model_Registry!$B$2:$K$500,{3,10,8,9},0),"")</f>
        <v/>
      </c>
      <c r="E439" s="190"/>
      <c r="F439" s="190"/>
      <c r="G439" s="191"/>
      <c r="H439" s="192">
        <f t="shared" si="25"/>
        <v>0</v>
      </c>
      <c r="I439" s="121"/>
      <c r="J439" s="193" t="str" cm="1">
        <f t="array" ref="J439">IF(I439="No-Retrofit",F439,IFERROR(VLOOKUP(I439,Vstack!$A$2:$L$1000,{8},0),""))</f>
        <v/>
      </c>
      <c r="K439" s="224" t="str" cm="1">
        <f t="array" ref="K439">IF(I439="No-Retrofit",F439,IFERROR(VLOOKUP(I439,Vstack!$A$2:$L$1000,{9},0)*N439,""))</f>
        <v/>
      </c>
      <c r="L439" s="193" t="str" cm="1">
        <f t="array" ref="L439">IF(I439="No-Retrofit",F439,IFERROR(VLOOKUP(I439,Vstack!$A$2:$L$1000,{10,4},0),""))</f>
        <v/>
      </c>
      <c r="M439" s="193"/>
      <c r="N439" s="121"/>
      <c r="O439" s="193" t="str">
        <f t="shared" si="26"/>
        <v/>
      </c>
      <c r="P439" s="195" t="str">
        <f t="shared" si="27"/>
        <v/>
      </c>
      <c r="Q439" s="230"/>
      <c r="R439" s="229"/>
      <c r="S439" s="231"/>
      <c r="T439" s="229"/>
      <c r="U439" s="196">
        <v>438</v>
      </c>
    </row>
    <row r="440" spans="1:21" ht="15" customHeight="1">
      <c r="A440" s="190" t="str">
        <f t="shared" si="24"/>
        <v>439- -W</v>
      </c>
      <c r="B440" s="123"/>
      <c r="C440" s="125"/>
      <c r="D440" s="190" t="str" cm="1">
        <f t="array" ref="D440">IFERROR(VLOOKUP(C440,Old_Model_Registry!$B$2:$K$500,{3,10,8,9},0),"")</f>
        <v/>
      </c>
      <c r="E440" s="190"/>
      <c r="F440" s="190"/>
      <c r="G440" s="191"/>
      <c r="H440" s="192">
        <f t="shared" si="25"/>
        <v>0</v>
      </c>
      <c r="I440" s="121"/>
      <c r="J440" s="193" t="str" cm="1">
        <f t="array" ref="J440">IF(I440="No-Retrofit",F440,IFERROR(VLOOKUP(I440,Vstack!$A$2:$L$1000,{8},0),""))</f>
        <v/>
      </c>
      <c r="K440" s="224" t="str" cm="1">
        <f t="array" ref="K440">IF(I440="No-Retrofit",F440,IFERROR(VLOOKUP(I440,Vstack!$A$2:$L$1000,{9},0)*N440,""))</f>
        <v/>
      </c>
      <c r="L440" s="193" t="str" cm="1">
        <f t="array" ref="L440">IF(I440="No-Retrofit",F440,IFERROR(VLOOKUP(I440,Vstack!$A$2:$L$1000,{10,4},0),""))</f>
        <v/>
      </c>
      <c r="M440" s="193"/>
      <c r="N440" s="121"/>
      <c r="O440" s="193" t="str">
        <f t="shared" si="26"/>
        <v/>
      </c>
      <c r="P440" s="195" t="str">
        <f t="shared" si="27"/>
        <v/>
      </c>
      <c r="Q440" s="230"/>
      <c r="R440" s="229"/>
      <c r="S440" s="231"/>
      <c r="T440" s="229"/>
      <c r="U440" s="196">
        <v>439</v>
      </c>
    </row>
    <row r="441" spans="1:21" ht="15" customHeight="1">
      <c r="A441" s="190" t="str">
        <f t="shared" si="24"/>
        <v>440- -W</v>
      </c>
      <c r="B441" s="123"/>
      <c r="C441" s="125"/>
      <c r="D441" s="190" t="str" cm="1">
        <f t="array" ref="D441">IFERROR(VLOOKUP(C441,Old_Model_Registry!$B$2:$K$500,{3,10,8,9},0),"")</f>
        <v/>
      </c>
      <c r="E441" s="190"/>
      <c r="F441" s="190"/>
      <c r="G441" s="191"/>
      <c r="H441" s="192">
        <f t="shared" si="25"/>
        <v>0</v>
      </c>
      <c r="I441" s="121"/>
      <c r="J441" s="193" t="str" cm="1">
        <f t="array" ref="J441">IF(I441="No-Retrofit",F441,IFERROR(VLOOKUP(I441,Vstack!$A$2:$L$1000,{8},0),""))</f>
        <v/>
      </c>
      <c r="K441" s="224" t="str" cm="1">
        <f t="array" ref="K441">IF(I441="No-Retrofit",F441,IFERROR(VLOOKUP(I441,Vstack!$A$2:$L$1000,{9},0)*N441,""))</f>
        <v/>
      </c>
      <c r="L441" s="193" t="str" cm="1">
        <f t="array" ref="L441">IF(I441="No-Retrofit",F441,IFERROR(VLOOKUP(I441,Vstack!$A$2:$L$1000,{10,4},0),""))</f>
        <v/>
      </c>
      <c r="M441" s="193"/>
      <c r="N441" s="121"/>
      <c r="O441" s="193" t="str">
        <f t="shared" si="26"/>
        <v/>
      </c>
      <c r="P441" s="195" t="str">
        <f t="shared" si="27"/>
        <v/>
      </c>
      <c r="Q441" s="230"/>
      <c r="R441" s="229"/>
      <c r="S441" s="231"/>
      <c r="T441" s="229"/>
      <c r="U441" s="196">
        <v>440</v>
      </c>
    </row>
    <row r="442" spans="1:21" ht="15" customHeight="1">
      <c r="A442" s="190" t="str">
        <f t="shared" si="24"/>
        <v>441- -W</v>
      </c>
      <c r="B442" s="123"/>
      <c r="C442" s="125"/>
      <c r="D442" s="190" t="str" cm="1">
        <f t="array" ref="D442">IFERROR(VLOOKUP(C442,Old_Model_Registry!$B$2:$K$500,{3,10,8,9},0),"")</f>
        <v/>
      </c>
      <c r="E442" s="190"/>
      <c r="F442" s="190"/>
      <c r="G442" s="191"/>
      <c r="H442" s="192">
        <f t="shared" si="25"/>
        <v>0</v>
      </c>
      <c r="I442" s="121"/>
      <c r="J442" s="193" t="str" cm="1">
        <f t="array" ref="J442">IF(I442="No-Retrofit",F442,IFERROR(VLOOKUP(I442,Vstack!$A$2:$L$1000,{8},0),""))</f>
        <v/>
      </c>
      <c r="K442" s="224" t="str" cm="1">
        <f t="array" ref="K442">IF(I442="No-Retrofit",F442,IFERROR(VLOOKUP(I442,Vstack!$A$2:$L$1000,{9},0)*N442,""))</f>
        <v/>
      </c>
      <c r="L442" s="193" t="str" cm="1">
        <f t="array" ref="L442">IF(I442="No-Retrofit",F442,IFERROR(VLOOKUP(I442,Vstack!$A$2:$L$1000,{10,4},0),""))</f>
        <v/>
      </c>
      <c r="M442" s="193"/>
      <c r="N442" s="121"/>
      <c r="O442" s="193" t="str">
        <f t="shared" si="26"/>
        <v/>
      </c>
      <c r="P442" s="195" t="str">
        <f t="shared" si="27"/>
        <v/>
      </c>
      <c r="Q442" s="230"/>
      <c r="R442" s="229"/>
      <c r="S442" s="231"/>
      <c r="T442" s="229"/>
      <c r="U442" s="196">
        <v>441</v>
      </c>
    </row>
    <row r="443" spans="1:21" ht="15" customHeight="1">
      <c r="A443" s="190" t="str">
        <f t="shared" si="24"/>
        <v>442- -W</v>
      </c>
      <c r="B443" s="123"/>
      <c r="C443" s="125"/>
      <c r="D443" s="190" t="str" cm="1">
        <f t="array" ref="D443">IFERROR(VLOOKUP(C443,Old_Model_Registry!$B$2:$K$500,{3,10,8,9},0),"")</f>
        <v/>
      </c>
      <c r="E443" s="190"/>
      <c r="F443" s="190"/>
      <c r="G443" s="191"/>
      <c r="H443" s="192">
        <f t="shared" si="25"/>
        <v>0</v>
      </c>
      <c r="I443" s="121"/>
      <c r="J443" s="193" t="str" cm="1">
        <f t="array" ref="J443">IF(I443="No-Retrofit",F443,IFERROR(VLOOKUP(I443,Vstack!$A$2:$L$1000,{8},0),""))</f>
        <v/>
      </c>
      <c r="K443" s="224" t="str" cm="1">
        <f t="array" ref="K443">IF(I443="No-Retrofit",F443,IFERROR(VLOOKUP(I443,Vstack!$A$2:$L$1000,{9},0)*N443,""))</f>
        <v/>
      </c>
      <c r="L443" s="193" t="str" cm="1">
        <f t="array" ref="L443">IF(I443="No-Retrofit",F443,IFERROR(VLOOKUP(I443,Vstack!$A$2:$L$1000,{10,4},0),""))</f>
        <v/>
      </c>
      <c r="M443" s="193"/>
      <c r="N443" s="121"/>
      <c r="O443" s="193" t="str">
        <f t="shared" si="26"/>
        <v/>
      </c>
      <c r="P443" s="195" t="str">
        <f t="shared" si="27"/>
        <v/>
      </c>
      <c r="Q443" s="230"/>
      <c r="R443" s="229"/>
      <c r="S443" s="231"/>
      <c r="T443" s="229"/>
      <c r="U443" s="196">
        <v>442</v>
      </c>
    </row>
    <row r="444" spans="1:21" ht="15" customHeight="1">
      <c r="A444" s="190" t="str">
        <f t="shared" si="24"/>
        <v>443- -W</v>
      </c>
      <c r="B444" s="123"/>
      <c r="C444" s="125"/>
      <c r="D444" s="190" t="str" cm="1">
        <f t="array" ref="D444">IFERROR(VLOOKUP(C444,Old_Model_Registry!$B$2:$K$500,{3,10,8,9},0),"")</f>
        <v/>
      </c>
      <c r="E444" s="190"/>
      <c r="F444" s="190"/>
      <c r="G444" s="191"/>
      <c r="H444" s="192">
        <f t="shared" si="25"/>
        <v>0</v>
      </c>
      <c r="I444" s="121"/>
      <c r="J444" s="193" t="str" cm="1">
        <f t="array" ref="J444">IF(I444="No-Retrofit",F444,IFERROR(VLOOKUP(I444,Vstack!$A$2:$L$1000,{8},0),""))</f>
        <v/>
      </c>
      <c r="K444" s="224" t="str" cm="1">
        <f t="array" ref="K444">IF(I444="No-Retrofit",F444,IFERROR(VLOOKUP(I444,Vstack!$A$2:$L$1000,{9},0)*N444,""))</f>
        <v/>
      </c>
      <c r="L444" s="193" t="str" cm="1">
        <f t="array" ref="L444">IF(I444="No-Retrofit",F444,IFERROR(VLOOKUP(I444,Vstack!$A$2:$L$1000,{10,4},0),""))</f>
        <v/>
      </c>
      <c r="M444" s="193"/>
      <c r="N444" s="121"/>
      <c r="O444" s="193" t="str">
        <f t="shared" si="26"/>
        <v/>
      </c>
      <c r="P444" s="195" t="str">
        <f t="shared" si="27"/>
        <v/>
      </c>
      <c r="Q444" s="230"/>
      <c r="R444" s="229"/>
      <c r="S444" s="231"/>
      <c r="T444" s="229"/>
      <c r="U444" s="196">
        <v>443</v>
      </c>
    </row>
    <row r="445" spans="1:21" ht="15" customHeight="1">
      <c r="A445" s="190" t="str">
        <f t="shared" si="24"/>
        <v>444- -W</v>
      </c>
      <c r="B445" s="123"/>
      <c r="C445" s="125"/>
      <c r="D445" s="190" t="str" cm="1">
        <f t="array" ref="D445">IFERROR(VLOOKUP(C445,Old_Model_Registry!$B$2:$K$500,{3,10,8,9},0),"")</f>
        <v/>
      </c>
      <c r="E445" s="190"/>
      <c r="F445" s="190"/>
      <c r="G445" s="191"/>
      <c r="H445" s="192">
        <f t="shared" si="25"/>
        <v>0</v>
      </c>
      <c r="I445" s="121"/>
      <c r="J445" s="193" t="str" cm="1">
        <f t="array" ref="J445">IF(I445="No-Retrofit",F445,IFERROR(VLOOKUP(I445,Vstack!$A$2:$L$1000,{8},0),""))</f>
        <v/>
      </c>
      <c r="K445" s="224" t="str" cm="1">
        <f t="array" ref="K445">IF(I445="No-Retrofit",F445,IFERROR(VLOOKUP(I445,Vstack!$A$2:$L$1000,{9},0)*N445,""))</f>
        <v/>
      </c>
      <c r="L445" s="193" t="str" cm="1">
        <f t="array" ref="L445">IF(I445="No-Retrofit",F445,IFERROR(VLOOKUP(I445,Vstack!$A$2:$L$1000,{10,4},0),""))</f>
        <v/>
      </c>
      <c r="M445" s="193"/>
      <c r="N445" s="121"/>
      <c r="O445" s="193" t="str">
        <f t="shared" si="26"/>
        <v/>
      </c>
      <c r="P445" s="195" t="str">
        <f t="shared" si="27"/>
        <v/>
      </c>
      <c r="Q445" s="230"/>
      <c r="R445" s="229"/>
      <c r="S445" s="231"/>
      <c r="T445" s="229"/>
      <c r="U445" s="196">
        <v>444</v>
      </c>
    </row>
    <row r="446" spans="1:21" ht="15" customHeight="1">
      <c r="A446" s="190" t="str">
        <f t="shared" si="24"/>
        <v>445- -W</v>
      </c>
      <c r="B446" s="123"/>
      <c r="C446" s="125"/>
      <c r="D446" s="190" t="str" cm="1">
        <f t="array" ref="D446">IFERROR(VLOOKUP(C446,Old_Model_Registry!$B$2:$K$500,{3,10,8,9},0),"")</f>
        <v/>
      </c>
      <c r="E446" s="190"/>
      <c r="F446" s="190"/>
      <c r="G446" s="191"/>
      <c r="H446" s="192">
        <f t="shared" si="25"/>
        <v>0</v>
      </c>
      <c r="I446" s="121"/>
      <c r="J446" s="193" t="str" cm="1">
        <f t="array" ref="J446">IF(I446="No-Retrofit",F446,IFERROR(VLOOKUP(I446,Vstack!$A$2:$L$1000,{8},0),""))</f>
        <v/>
      </c>
      <c r="K446" s="224" t="str" cm="1">
        <f t="array" ref="K446">IF(I446="No-Retrofit",F446,IFERROR(VLOOKUP(I446,Vstack!$A$2:$L$1000,{9},0)*N446,""))</f>
        <v/>
      </c>
      <c r="L446" s="193" t="str" cm="1">
        <f t="array" ref="L446">IF(I446="No-Retrofit",F446,IFERROR(VLOOKUP(I446,Vstack!$A$2:$L$1000,{10,4},0),""))</f>
        <v/>
      </c>
      <c r="M446" s="193"/>
      <c r="N446" s="121"/>
      <c r="O446" s="193" t="str">
        <f t="shared" si="26"/>
        <v/>
      </c>
      <c r="P446" s="195" t="str">
        <f t="shared" si="27"/>
        <v/>
      </c>
      <c r="Q446" s="230"/>
      <c r="R446" s="229"/>
      <c r="S446" s="231"/>
      <c r="T446" s="229"/>
      <c r="U446" s="196">
        <v>445</v>
      </c>
    </row>
    <row r="447" spans="1:21" ht="15" customHeight="1">
      <c r="A447" s="190" t="str">
        <f t="shared" si="24"/>
        <v>446- -W</v>
      </c>
      <c r="B447" s="123"/>
      <c r="C447" s="125"/>
      <c r="D447" s="190" t="str" cm="1">
        <f t="array" ref="D447">IFERROR(VLOOKUP(C447,Old_Model_Registry!$B$2:$K$500,{3,10,8,9},0),"")</f>
        <v/>
      </c>
      <c r="E447" s="190"/>
      <c r="F447" s="190"/>
      <c r="G447" s="191"/>
      <c r="H447" s="192">
        <f t="shared" si="25"/>
        <v>0</v>
      </c>
      <c r="I447" s="121"/>
      <c r="J447" s="193" t="str" cm="1">
        <f t="array" ref="J447">IF(I447="No-Retrofit",F447,IFERROR(VLOOKUP(I447,Vstack!$A$2:$L$1000,{8},0),""))</f>
        <v/>
      </c>
      <c r="K447" s="224" t="str" cm="1">
        <f t="array" ref="K447">IF(I447="No-Retrofit",F447,IFERROR(VLOOKUP(I447,Vstack!$A$2:$L$1000,{9},0)*N447,""))</f>
        <v/>
      </c>
      <c r="L447" s="193" t="str" cm="1">
        <f t="array" ref="L447">IF(I447="No-Retrofit",F447,IFERROR(VLOOKUP(I447,Vstack!$A$2:$L$1000,{10,4},0),""))</f>
        <v/>
      </c>
      <c r="M447" s="193"/>
      <c r="N447" s="121"/>
      <c r="O447" s="193" t="str">
        <f t="shared" si="26"/>
        <v/>
      </c>
      <c r="P447" s="195" t="str">
        <f t="shared" si="27"/>
        <v/>
      </c>
      <c r="Q447" s="230"/>
      <c r="R447" s="229"/>
      <c r="S447" s="231"/>
      <c r="T447" s="229"/>
      <c r="U447" s="196">
        <v>446</v>
      </c>
    </row>
    <row r="448" spans="1:21" ht="15" customHeight="1">
      <c r="A448" s="190" t="str">
        <f t="shared" si="24"/>
        <v>447- -W</v>
      </c>
      <c r="B448" s="123"/>
      <c r="C448" s="125"/>
      <c r="D448" s="190" t="str" cm="1">
        <f t="array" ref="D448">IFERROR(VLOOKUP(C448,Old_Model_Registry!$B$2:$K$500,{3,10,8,9},0),"")</f>
        <v/>
      </c>
      <c r="E448" s="190"/>
      <c r="F448" s="190"/>
      <c r="G448" s="191"/>
      <c r="H448" s="192">
        <f t="shared" si="25"/>
        <v>0</v>
      </c>
      <c r="I448" s="121"/>
      <c r="J448" s="193" t="str" cm="1">
        <f t="array" ref="J448">IF(I448="No-Retrofit",F448,IFERROR(VLOOKUP(I448,Vstack!$A$2:$L$1000,{8},0),""))</f>
        <v/>
      </c>
      <c r="K448" s="224" t="str" cm="1">
        <f t="array" ref="K448">IF(I448="No-Retrofit",F448,IFERROR(VLOOKUP(I448,Vstack!$A$2:$L$1000,{9},0)*N448,""))</f>
        <v/>
      </c>
      <c r="L448" s="193" t="str" cm="1">
        <f t="array" ref="L448">IF(I448="No-Retrofit",F448,IFERROR(VLOOKUP(I448,Vstack!$A$2:$L$1000,{10,4},0),""))</f>
        <v/>
      </c>
      <c r="M448" s="193"/>
      <c r="N448" s="121"/>
      <c r="O448" s="193" t="str">
        <f t="shared" si="26"/>
        <v/>
      </c>
      <c r="P448" s="195" t="str">
        <f t="shared" si="27"/>
        <v/>
      </c>
      <c r="Q448" s="230"/>
      <c r="R448" s="229"/>
      <c r="S448" s="231"/>
      <c r="T448" s="229"/>
      <c r="U448" s="196">
        <v>447</v>
      </c>
    </row>
    <row r="449" spans="1:21" ht="15" customHeight="1">
      <c r="A449" s="190" t="str">
        <f t="shared" si="24"/>
        <v>448- -W</v>
      </c>
      <c r="B449" s="123"/>
      <c r="C449" s="125"/>
      <c r="D449" s="190" t="str" cm="1">
        <f t="array" ref="D449">IFERROR(VLOOKUP(C449,Old_Model_Registry!$B$2:$K$500,{3,10,8,9},0),"")</f>
        <v/>
      </c>
      <c r="E449" s="190"/>
      <c r="F449" s="190"/>
      <c r="G449" s="191"/>
      <c r="H449" s="192">
        <f t="shared" si="25"/>
        <v>0</v>
      </c>
      <c r="I449" s="121"/>
      <c r="J449" s="193" t="str" cm="1">
        <f t="array" ref="J449">IF(I449="No-Retrofit",F449,IFERROR(VLOOKUP(I449,Vstack!$A$2:$L$1000,{8},0),""))</f>
        <v/>
      </c>
      <c r="K449" s="224" t="str" cm="1">
        <f t="array" ref="K449">IF(I449="No-Retrofit",F449,IFERROR(VLOOKUP(I449,Vstack!$A$2:$L$1000,{9},0)*N449,""))</f>
        <v/>
      </c>
      <c r="L449" s="193" t="str" cm="1">
        <f t="array" ref="L449">IF(I449="No-Retrofit",F449,IFERROR(VLOOKUP(I449,Vstack!$A$2:$L$1000,{10,4},0),""))</f>
        <v/>
      </c>
      <c r="M449" s="193"/>
      <c r="N449" s="121"/>
      <c r="O449" s="193" t="str">
        <f t="shared" si="26"/>
        <v/>
      </c>
      <c r="P449" s="195" t="str">
        <f t="shared" si="27"/>
        <v/>
      </c>
      <c r="Q449" s="230"/>
      <c r="R449" s="229"/>
      <c r="S449" s="231"/>
      <c r="T449" s="229"/>
      <c r="U449" s="196">
        <v>448</v>
      </c>
    </row>
    <row r="450" spans="1:21" ht="15" customHeight="1">
      <c r="A450" s="190" t="str">
        <f t="shared" si="24"/>
        <v>449- -W</v>
      </c>
      <c r="B450" s="123"/>
      <c r="C450" s="125"/>
      <c r="D450" s="190" t="str" cm="1">
        <f t="array" ref="D450">IFERROR(VLOOKUP(C450,Old_Model_Registry!$B$2:$K$500,{3,10,8,9},0),"")</f>
        <v/>
      </c>
      <c r="E450" s="190"/>
      <c r="F450" s="190"/>
      <c r="G450" s="191"/>
      <c r="H450" s="192">
        <f t="shared" si="25"/>
        <v>0</v>
      </c>
      <c r="I450" s="121"/>
      <c r="J450" s="193" t="str" cm="1">
        <f t="array" ref="J450">IF(I450="No-Retrofit",F450,IFERROR(VLOOKUP(I450,Vstack!$A$2:$L$1000,{8},0),""))</f>
        <v/>
      </c>
      <c r="K450" s="224" t="str" cm="1">
        <f t="array" ref="K450">IF(I450="No-Retrofit",F450,IFERROR(VLOOKUP(I450,Vstack!$A$2:$L$1000,{9},0)*N450,""))</f>
        <v/>
      </c>
      <c r="L450" s="193" t="str" cm="1">
        <f t="array" ref="L450">IF(I450="No-Retrofit",F450,IFERROR(VLOOKUP(I450,Vstack!$A$2:$L$1000,{10,4},0),""))</f>
        <v/>
      </c>
      <c r="M450" s="193"/>
      <c r="N450" s="121"/>
      <c r="O450" s="193" t="str">
        <f t="shared" si="26"/>
        <v/>
      </c>
      <c r="P450" s="195" t="str">
        <f t="shared" si="27"/>
        <v/>
      </c>
      <c r="Q450" s="230"/>
      <c r="R450" s="229"/>
      <c r="S450" s="231"/>
      <c r="T450" s="229"/>
      <c r="U450" s="196">
        <v>449</v>
      </c>
    </row>
    <row r="451" spans="1:21" ht="15" customHeight="1">
      <c r="A451" s="190" t="str">
        <f t="shared" ref="A451:A501" si="28">U451&amp;"- "&amp;B451&amp;"-"&amp;F451&amp;"W"</f>
        <v>450- -W</v>
      </c>
      <c r="B451" s="123"/>
      <c r="C451" s="125"/>
      <c r="D451" s="190" t="str" cm="1">
        <f t="array" ref="D451">IFERROR(VLOOKUP(C451,Old_Model_Registry!$B$2:$K$500,{3,10,8,9},0),"")</f>
        <v/>
      </c>
      <c r="E451" s="190"/>
      <c r="F451" s="190"/>
      <c r="G451" s="191"/>
      <c r="H451" s="192">
        <f t="shared" ref="H451:H501" si="29">E451*F451</f>
        <v>0</v>
      </c>
      <c r="I451" s="121"/>
      <c r="J451" s="193" t="str" cm="1">
        <f t="array" ref="J451">IF(I451="No-Retrofit",F451,IFERROR(VLOOKUP(I451,Vstack!$A$2:$L$1000,{8},0),""))</f>
        <v/>
      </c>
      <c r="K451" s="224" t="str" cm="1">
        <f t="array" ref="K451">IF(I451="No-Retrofit",F451,IFERROR(VLOOKUP(I451,Vstack!$A$2:$L$1000,{9},0)*N451,""))</f>
        <v/>
      </c>
      <c r="L451" s="193" t="str" cm="1">
        <f t="array" ref="L451">IF(I451="No-Retrofit",F451,IFERROR(VLOOKUP(I451,Vstack!$A$2:$L$1000,{10,4},0),""))</f>
        <v/>
      </c>
      <c r="M451" s="193"/>
      <c r="N451" s="121"/>
      <c r="O451" s="193" t="str">
        <f t="shared" ref="O451:O501" si="30">IFERROR(N451*J451,"")</f>
        <v/>
      </c>
      <c r="P451" s="195" t="str">
        <f t="shared" ref="P451:P501" si="31">IFERROR(-(O451/H451-1),"")</f>
        <v/>
      </c>
      <c r="Q451" s="230"/>
      <c r="R451" s="229"/>
      <c r="S451" s="231"/>
      <c r="T451" s="229"/>
      <c r="U451" s="196">
        <v>450</v>
      </c>
    </row>
    <row r="452" spans="1:21" ht="15" customHeight="1">
      <c r="A452" s="190" t="str">
        <f t="shared" si="28"/>
        <v>451- -W</v>
      </c>
      <c r="B452" s="123"/>
      <c r="C452" s="125"/>
      <c r="D452" s="190" t="str" cm="1">
        <f t="array" ref="D452">IFERROR(VLOOKUP(C452,Old_Model_Registry!$B$2:$K$500,{3,10,8,9},0),"")</f>
        <v/>
      </c>
      <c r="E452" s="190"/>
      <c r="F452" s="190"/>
      <c r="G452" s="191"/>
      <c r="H452" s="192">
        <f t="shared" si="29"/>
        <v>0</v>
      </c>
      <c r="I452" s="121"/>
      <c r="J452" s="193" t="str" cm="1">
        <f t="array" ref="J452">IF(I452="No-Retrofit",F452,IFERROR(VLOOKUP(I452,Vstack!$A$2:$L$1000,{8},0),""))</f>
        <v/>
      </c>
      <c r="K452" s="224" t="str" cm="1">
        <f t="array" ref="K452">IF(I452="No-Retrofit",F452,IFERROR(VLOOKUP(I452,Vstack!$A$2:$L$1000,{9},0)*N452,""))</f>
        <v/>
      </c>
      <c r="L452" s="193" t="str" cm="1">
        <f t="array" ref="L452">IF(I452="No-Retrofit",F452,IFERROR(VLOOKUP(I452,Vstack!$A$2:$L$1000,{10,4},0),""))</f>
        <v/>
      </c>
      <c r="M452" s="193"/>
      <c r="N452" s="121"/>
      <c r="O452" s="193" t="str">
        <f t="shared" si="30"/>
        <v/>
      </c>
      <c r="P452" s="195" t="str">
        <f t="shared" si="31"/>
        <v/>
      </c>
      <c r="Q452" s="230"/>
      <c r="R452" s="229"/>
      <c r="S452" s="231"/>
      <c r="T452" s="229"/>
      <c r="U452" s="196">
        <v>451</v>
      </c>
    </row>
    <row r="453" spans="1:21" ht="15" customHeight="1">
      <c r="A453" s="190" t="str">
        <f t="shared" si="28"/>
        <v>452- -W</v>
      </c>
      <c r="B453" s="123"/>
      <c r="C453" s="125"/>
      <c r="D453" s="190" t="str" cm="1">
        <f t="array" ref="D453">IFERROR(VLOOKUP(C453,Old_Model_Registry!$B$2:$K$500,{3,10,8,9},0),"")</f>
        <v/>
      </c>
      <c r="E453" s="190"/>
      <c r="F453" s="190"/>
      <c r="G453" s="191"/>
      <c r="H453" s="192">
        <f t="shared" si="29"/>
        <v>0</v>
      </c>
      <c r="I453" s="121"/>
      <c r="J453" s="193" t="str" cm="1">
        <f t="array" ref="J453">IF(I453="No-Retrofit",F453,IFERROR(VLOOKUP(I453,Vstack!$A$2:$L$1000,{8},0),""))</f>
        <v/>
      </c>
      <c r="K453" s="224" t="str" cm="1">
        <f t="array" ref="K453">IF(I453="No-Retrofit",F453,IFERROR(VLOOKUP(I453,Vstack!$A$2:$L$1000,{9},0)*N453,""))</f>
        <v/>
      </c>
      <c r="L453" s="193" t="str" cm="1">
        <f t="array" ref="L453">IF(I453="No-Retrofit",F453,IFERROR(VLOOKUP(I453,Vstack!$A$2:$L$1000,{10,4},0),""))</f>
        <v/>
      </c>
      <c r="M453" s="193"/>
      <c r="N453" s="121"/>
      <c r="O453" s="193" t="str">
        <f t="shared" si="30"/>
        <v/>
      </c>
      <c r="P453" s="195" t="str">
        <f t="shared" si="31"/>
        <v/>
      </c>
      <c r="Q453" s="230"/>
      <c r="R453" s="229"/>
      <c r="S453" s="231"/>
      <c r="T453" s="229"/>
      <c r="U453" s="196">
        <v>452</v>
      </c>
    </row>
    <row r="454" spans="1:21" ht="15" customHeight="1">
      <c r="A454" s="190" t="str">
        <f t="shared" si="28"/>
        <v>453- -W</v>
      </c>
      <c r="B454" s="123"/>
      <c r="C454" s="125"/>
      <c r="D454" s="190" t="str" cm="1">
        <f t="array" ref="D454">IFERROR(VLOOKUP(C454,Old_Model_Registry!$B$2:$K$500,{3,10,8,9},0),"")</f>
        <v/>
      </c>
      <c r="E454" s="190"/>
      <c r="F454" s="190"/>
      <c r="G454" s="191"/>
      <c r="H454" s="192">
        <f t="shared" si="29"/>
        <v>0</v>
      </c>
      <c r="I454" s="121"/>
      <c r="J454" s="193" t="str" cm="1">
        <f t="array" ref="J454">IF(I454="No-Retrofit",F454,IFERROR(VLOOKUP(I454,Vstack!$A$2:$L$1000,{8},0),""))</f>
        <v/>
      </c>
      <c r="K454" s="224" t="str" cm="1">
        <f t="array" ref="K454">IF(I454="No-Retrofit",F454,IFERROR(VLOOKUP(I454,Vstack!$A$2:$L$1000,{9},0)*N454,""))</f>
        <v/>
      </c>
      <c r="L454" s="193" t="str" cm="1">
        <f t="array" ref="L454">IF(I454="No-Retrofit",F454,IFERROR(VLOOKUP(I454,Vstack!$A$2:$L$1000,{10,4},0),""))</f>
        <v/>
      </c>
      <c r="M454" s="193"/>
      <c r="N454" s="121"/>
      <c r="O454" s="193" t="str">
        <f t="shared" si="30"/>
        <v/>
      </c>
      <c r="P454" s="195" t="str">
        <f t="shared" si="31"/>
        <v/>
      </c>
      <c r="Q454" s="230"/>
      <c r="R454" s="229"/>
      <c r="S454" s="231"/>
      <c r="T454" s="229"/>
      <c r="U454" s="196">
        <v>453</v>
      </c>
    </row>
    <row r="455" spans="1:21" ht="15" customHeight="1">
      <c r="A455" s="190" t="str">
        <f t="shared" si="28"/>
        <v>454- -W</v>
      </c>
      <c r="B455" s="123"/>
      <c r="C455" s="125"/>
      <c r="D455" s="190" t="str" cm="1">
        <f t="array" ref="D455">IFERROR(VLOOKUP(C455,Old_Model_Registry!$B$2:$K$500,{3,10,8,9},0),"")</f>
        <v/>
      </c>
      <c r="E455" s="190"/>
      <c r="F455" s="190"/>
      <c r="G455" s="191"/>
      <c r="H455" s="192">
        <f t="shared" si="29"/>
        <v>0</v>
      </c>
      <c r="I455" s="121"/>
      <c r="J455" s="193" t="str" cm="1">
        <f t="array" ref="J455">IF(I455="No-Retrofit",F455,IFERROR(VLOOKUP(I455,Vstack!$A$2:$L$1000,{8},0),""))</f>
        <v/>
      </c>
      <c r="K455" s="224" t="str" cm="1">
        <f t="array" ref="K455">IF(I455="No-Retrofit",F455,IFERROR(VLOOKUP(I455,Vstack!$A$2:$L$1000,{9},0)*N455,""))</f>
        <v/>
      </c>
      <c r="L455" s="193" t="str" cm="1">
        <f t="array" ref="L455">IF(I455="No-Retrofit",F455,IFERROR(VLOOKUP(I455,Vstack!$A$2:$L$1000,{10,4},0),""))</f>
        <v/>
      </c>
      <c r="M455" s="193"/>
      <c r="N455" s="121"/>
      <c r="O455" s="193" t="str">
        <f t="shared" si="30"/>
        <v/>
      </c>
      <c r="P455" s="195" t="str">
        <f t="shared" si="31"/>
        <v/>
      </c>
      <c r="Q455" s="230"/>
      <c r="R455" s="229"/>
      <c r="S455" s="231"/>
      <c r="T455" s="229"/>
      <c r="U455" s="196">
        <v>454</v>
      </c>
    </row>
    <row r="456" spans="1:21" ht="15" customHeight="1">
      <c r="A456" s="190" t="str">
        <f t="shared" si="28"/>
        <v>455- -W</v>
      </c>
      <c r="B456" s="123"/>
      <c r="C456" s="125"/>
      <c r="D456" s="190" t="str" cm="1">
        <f t="array" ref="D456">IFERROR(VLOOKUP(C456,Old_Model_Registry!$B$2:$K$500,{3,10,8,9},0),"")</f>
        <v/>
      </c>
      <c r="E456" s="190"/>
      <c r="F456" s="190"/>
      <c r="G456" s="191"/>
      <c r="H456" s="192">
        <f t="shared" si="29"/>
        <v>0</v>
      </c>
      <c r="I456" s="121"/>
      <c r="J456" s="193" t="str" cm="1">
        <f t="array" ref="J456">IF(I456="No-Retrofit",F456,IFERROR(VLOOKUP(I456,Vstack!$A$2:$L$1000,{8},0),""))</f>
        <v/>
      </c>
      <c r="K456" s="224" t="str" cm="1">
        <f t="array" ref="K456">IF(I456="No-Retrofit",F456,IFERROR(VLOOKUP(I456,Vstack!$A$2:$L$1000,{9},0)*N456,""))</f>
        <v/>
      </c>
      <c r="L456" s="193" t="str" cm="1">
        <f t="array" ref="L456">IF(I456="No-Retrofit",F456,IFERROR(VLOOKUP(I456,Vstack!$A$2:$L$1000,{10,4},0),""))</f>
        <v/>
      </c>
      <c r="M456" s="193"/>
      <c r="N456" s="121"/>
      <c r="O456" s="193" t="str">
        <f t="shared" si="30"/>
        <v/>
      </c>
      <c r="P456" s="195" t="str">
        <f t="shared" si="31"/>
        <v/>
      </c>
      <c r="Q456" s="230"/>
      <c r="R456" s="229"/>
      <c r="S456" s="231"/>
      <c r="T456" s="229"/>
      <c r="U456" s="196">
        <v>455</v>
      </c>
    </row>
    <row r="457" spans="1:21" ht="15" customHeight="1">
      <c r="A457" s="190" t="str">
        <f t="shared" si="28"/>
        <v>456- -W</v>
      </c>
      <c r="B457" s="123"/>
      <c r="C457" s="125"/>
      <c r="D457" s="190" t="str" cm="1">
        <f t="array" ref="D457">IFERROR(VLOOKUP(C457,Old_Model_Registry!$B$2:$K$500,{3,10,8,9},0),"")</f>
        <v/>
      </c>
      <c r="E457" s="190"/>
      <c r="F457" s="190"/>
      <c r="G457" s="191"/>
      <c r="H457" s="192">
        <f t="shared" si="29"/>
        <v>0</v>
      </c>
      <c r="I457" s="121"/>
      <c r="J457" s="193" t="str" cm="1">
        <f t="array" ref="J457">IF(I457="No-Retrofit",F457,IFERROR(VLOOKUP(I457,Vstack!$A$2:$L$1000,{8},0),""))</f>
        <v/>
      </c>
      <c r="K457" s="224" t="str" cm="1">
        <f t="array" ref="K457">IF(I457="No-Retrofit",F457,IFERROR(VLOOKUP(I457,Vstack!$A$2:$L$1000,{9},0)*N457,""))</f>
        <v/>
      </c>
      <c r="L457" s="193" t="str" cm="1">
        <f t="array" ref="L457">IF(I457="No-Retrofit",F457,IFERROR(VLOOKUP(I457,Vstack!$A$2:$L$1000,{10,4},0),""))</f>
        <v/>
      </c>
      <c r="M457" s="193"/>
      <c r="N457" s="121"/>
      <c r="O457" s="193" t="str">
        <f t="shared" si="30"/>
        <v/>
      </c>
      <c r="P457" s="195" t="str">
        <f t="shared" si="31"/>
        <v/>
      </c>
      <c r="Q457" s="230"/>
      <c r="R457" s="229"/>
      <c r="S457" s="231"/>
      <c r="T457" s="229"/>
      <c r="U457" s="196">
        <v>456</v>
      </c>
    </row>
    <row r="458" spans="1:21" ht="15" customHeight="1">
      <c r="A458" s="190" t="str">
        <f t="shared" si="28"/>
        <v>457- -W</v>
      </c>
      <c r="B458" s="123"/>
      <c r="C458" s="125"/>
      <c r="D458" s="190" t="str" cm="1">
        <f t="array" ref="D458">IFERROR(VLOOKUP(C458,Old_Model_Registry!$B$2:$K$500,{3,10,8,9},0),"")</f>
        <v/>
      </c>
      <c r="E458" s="190"/>
      <c r="F458" s="190"/>
      <c r="G458" s="191"/>
      <c r="H458" s="192">
        <f t="shared" si="29"/>
        <v>0</v>
      </c>
      <c r="I458" s="121"/>
      <c r="J458" s="193" t="str" cm="1">
        <f t="array" ref="J458">IF(I458="No-Retrofit",F458,IFERROR(VLOOKUP(I458,Vstack!$A$2:$L$1000,{8},0),""))</f>
        <v/>
      </c>
      <c r="K458" s="224" t="str" cm="1">
        <f t="array" ref="K458">IF(I458="No-Retrofit",F458,IFERROR(VLOOKUP(I458,Vstack!$A$2:$L$1000,{9},0)*N458,""))</f>
        <v/>
      </c>
      <c r="L458" s="193" t="str" cm="1">
        <f t="array" ref="L458">IF(I458="No-Retrofit",F458,IFERROR(VLOOKUP(I458,Vstack!$A$2:$L$1000,{10,4},0),""))</f>
        <v/>
      </c>
      <c r="M458" s="193"/>
      <c r="N458" s="121"/>
      <c r="O458" s="193" t="str">
        <f t="shared" si="30"/>
        <v/>
      </c>
      <c r="P458" s="195" t="str">
        <f t="shared" si="31"/>
        <v/>
      </c>
      <c r="Q458" s="230"/>
      <c r="R458" s="229"/>
      <c r="S458" s="231"/>
      <c r="T458" s="229"/>
      <c r="U458" s="196">
        <v>457</v>
      </c>
    </row>
    <row r="459" spans="1:21" ht="15" customHeight="1">
      <c r="A459" s="190" t="str">
        <f t="shared" si="28"/>
        <v>458- -W</v>
      </c>
      <c r="B459" s="123"/>
      <c r="C459" s="125"/>
      <c r="D459" s="190" t="str" cm="1">
        <f t="array" ref="D459">IFERROR(VLOOKUP(C459,Old_Model_Registry!$B$2:$K$500,{3,10,8,9},0),"")</f>
        <v/>
      </c>
      <c r="E459" s="190"/>
      <c r="F459" s="190"/>
      <c r="G459" s="191"/>
      <c r="H459" s="192">
        <f t="shared" si="29"/>
        <v>0</v>
      </c>
      <c r="I459" s="121"/>
      <c r="J459" s="193" t="str" cm="1">
        <f t="array" ref="J459">IF(I459="No-Retrofit",F459,IFERROR(VLOOKUP(I459,Vstack!$A$2:$L$1000,{8},0),""))</f>
        <v/>
      </c>
      <c r="K459" s="224" t="str" cm="1">
        <f t="array" ref="K459">IF(I459="No-Retrofit",F459,IFERROR(VLOOKUP(I459,Vstack!$A$2:$L$1000,{9},0)*N459,""))</f>
        <v/>
      </c>
      <c r="L459" s="193" t="str" cm="1">
        <f t="array" ref="L459">IF(I459="No-Retrofit",F459,IFERROR(VLOOKUP(I459,Vstack!$A$2:$L$1000,{10,4},0),""))</f>
        <v/>
      </c>
      <c r="M459" s="193"/>
      <c r="N459" s="121"/>
      <c r="O459" s="193" t="str">
        <f t="shared" si="30"/>
        <v/>
      </c>
      <c r="P459" s="195" t="str">
        <f t="shared" si="31"/>
        <v/>
      </c>
      <c r="Q459" s="230"/>
      <c r="R459" s="229"/>
      <c r="S459" s="231"/>
      <c r="T459" s="229"/>
      <c r="U459" s="196">
        <v>458</v>
      </c>
    </row>
    <row r="460" spans="1:21" ht="15" customHeight="1">
      <c r="A460" s="190" t="str">
        <f t="shared" si="28"/>
        <v>459- -W</v>
      </c>
      <c r="B460" s="123"/>
      <c r="C460" s="125"/>
      <c r="D460" s="190" t="str" cm="1">
        <f t="array" ref="D460">IFERROR(VLOOKUP(C460,Old_Model_Registry!$B$2:$K$500,{3,10,8,9},0),"")</f>
        <v/>
      </c>
      <c r="E460" s="190"/>
      <c r="F460" s="190"/>
      <c r="G460" s="191"/>
      <c r="H460" s="192">
        <f t="shared" si="29"/>
        <v>0</v>
      </c>
      <c r="I460" s="121"/>
      <c r="J460" s="193" t="str" cm="1">
        <f t="array" ref="J460">IF(I460="No-Retrofit",F460,IFERROR(VLOOKUP(I460,Vstack!$A$2:$L$1000,{8},0),""))</f>
        <v/>
      </c>
      <c r="K460" s="224" t="str" cm="1">
        <f t="array" ref="K460">IF(I460="No-Retrofit",F460,IFERROR(VLOOKUP(I460,Vstack!$A$2:$L$1000,{9},0)*N460,""))</f>
        <v/>
      </c>
      <c r="L460" s="193" t="str" cm="1">
        <f t="array" ref="L460">IF(I460="No-Retrofit",F460,IFERROR(VLOOKUP(I460,Vstack!$A$2:$L$1000,{10,4},0),""))</f>
        <v/>
      </c>
      <c r="M460" s="193"/>
      <c r="N460" s="121"/>
      <c r="O460" s="193" t="str">
        <f t="shared" si="30"/>
        <v/>
      </c>
      <c r="P460" s="195" t="str">
        <f t="shared" si="31"/>
        <v/>
      </c>
      <c r="Q460" s="230"/>
      <c r="R460" s="229"/>
      <c r="S460" s="231"/>
      <c r="T460" s="229"/>
      <c r="U460" s="196">
        <v>459</v>
      </c>
    </row>
    <row r="461" spans="1:21" ht="15" customHeight="1">
      <c r="A461" s="190" t="str">
        <f t="shared" si="28"/>
        <v>460- -W</v>
      </c>
      <c r="B461" s="123"/>
      <c r="C461" s="125"/>
      <c r="D461" s="190" t="str" cm="1">
        <f t="array" ref="D461">IFERROR(VLOOKUP(C461,Old_Model_Registry!$B$2:$K$500,{3,10,8,9},0),"")</f>
        <v/>
      </c>
      <c r="E461" s="190"/>
      <c r="F461" s="190"/>
      <c r="G461" s="191"/>
      <c r="H461" s="192">
        <f t="shared" si="29"/>
        <v>0</v>
      </c>
      <c r="I461" s="121"/>
      <c r="J461" s="193" t="str" cm="1">
        <f t="array" ref="J461">IF(I461="No-Retrofit",F461,IFERROR(VLOOKUP(I461,Vstack!$A$2:$L$1000,{8},0),""))</f>
        <v/>
      </c>
      <c r="K461" s="224" t="str" cm="1">
        <f t="array" ref="K461">IF(I461="No-Retrofit",F461,IFERROR(VLOOKUP(I461,Vstack!$A$2:$L$1000,{9},0)*N461,""))</f>
        <v/>
      </c>
      <c r="L461" s="193" t="str" cm="1">
        <f t="array" ref="L461">IF(I461="No-Retrofit",F461,IFERROR(VLOOKUP(I461,Vstack!$A$2:$L$1000,{10,4},0),""))</f>
        <v/>
      </c>
      <c r="M461" s="193"/>
      <c r="N461" s="121"/>
      <c r="O461" s="193" t="str">
        <f t="shared" si="30"/>
        <v/>
      </c>
      <c r="P461" s="195" t="str">
        <f t="shared" si="31"/>
        <v/>
      </c>
      <c r="Q461" s="230"/>
      <c r="R461" s="229"/>
      <c r="S461" s="231"/>
      <c r="T461" s="229"/>
      <c r="U461" s="196">
        <v>460</v>
      </c>
    </row>
    <row r="462" spans="1:21" ht="15" customHeight="1">
      <c r="A462" s="190" t="str">
        <f t="shared" si="28"/>
        <v>461- -W</v>
      </c>
      <c r="B462" s="123"/>
      <c r="C462" s="125"/>
      <c r="D462" s="190" t="str" cm="1">
        <f t="array" ref="D462">IFERROR(VLOOKUP(C462,Old_Model_Registry!$B$2:$K$500,{3,10,8,9},0),"")</f>
        <v/>
      </c>
      <c r="E462" s="190"/>
      <c r="F462" s="190"/>
      <c r="G462" s="191"/>
      <c r="H462" s="192">
        <f t="shared" si="29"/>
        <v>0</v>
      </c>
      <c r="I462" s="121"/>
      <c r="J462" s="193" t="str" cm="1">
        <f t="array" ref="J462">IF(I462="No-Retrofit",F462,IFERROR(VLOOKUP(I462,Vstack!$A$2:$L$1000,{8},0),""))</f>
        <v/>
      </c>
      <c r="K462" s="224" t="str" cm="1">
        <f t="array" ref="K462">IF(I462="No-Retrofit",F462,IFERROR(VLOOKUP(I462,Vstack!$A$2:$L$1000,{9},0)*N462,""))</f>
        <v/>
      </c>
      <c r="L462" s="193" t="str" cm="1">
        <f t="array" ref="L462">IF(I462="No-Retrofit",F462,IFERROR(VLOOKUP(I462,Vstack!$A$2:$L$1000,{10,4},0),""))</f>
        <v/>
      </c>
      <c r="M462" s="193"/>
      <c r="N462" s="121"/>
      <c r="O462" s="193" t="str">
        <f t="shared" si="30"/>
        <v/>
      </c>
      <c r="P462" s="195" t="str">
        <f t="shared" si="31"/>
        <v/>
      </c>
      <c r="Q462" s="230"/>
      <c r="R462" s="229"/>
      <c r="S462" s="231"/>
      <c r="T462" s="229"/>
      <c r="U462" s="196">
        <v>461</v>
      </c>
    </row>
    <row r="463" spans="1:21" ht="15" customHeight="1">
      <c r="A463" s="190" t="str">
        <f t="shared" si="28"/>
        <v>462- -W</v>
      </c>
      <c r="B463" s="123"/>
      <c r="C463" s="125"/>
      <c r="D463" s="190" t="str" cm="1">
        <f t="array" ref="D463">IFERROR(VLOOKUP(C463,Old_Model_Registry!$B$2:$K$500,{3,10,8,9},0),"")</f>
        <v/>
      </c>
      <c r="E463" s="190"/>
      <c r="F463" s="190"/>
      <c r="G463" s="191"/>
      <c r="H463" s="192">
        <f t="shared" si="29"/>
        <v>0</v>
      </c>
      <c r="I463" s="121"/>
      <c r="J463" s="193" t="str" cm="1">
        <f t="array" ref="J463">IF(I463="No-Retrofit",F463,IFERROR(VLOOKUP(I463,Vstack!$A$2:$L$1000,{8},0),""))</f>
        <v/>
      </c>
      <c r="K463" s="224" t="str" cm="1">
        <f t="array" ref="K463">IF(I463="No-Retrofit",F463,IFERROR(VLOOKUP(I463,Vstack!$A$2:$L$1000,{9},0)*N463,""))</f>
        <v/>
      </c>
      <c r="L463" s="193" t="str" cm="1">
        <f t="array" ref="L463">IF(I463="No-Retrofit",F463,IFERROR(VLOOKUP(I463,Vstack!$A$2:$L$1000,{10,4},0),""))</f>
        <v/>
      </c>
      <c r="M463" s="193"/>
      <c r="N463" s="121"/>
      <c r="O463" s="193" t="str">
        <f t="shared" si="30"/>
        <v/>
      </c>
      <c r="P463" s="195" t="str">
        <f t="shared" si="31"/>
        <v/>
      </c>
      <c r="Q463" s="230"/>
      <c r="R463" s="229"/>
      <c r="S463" s="231"/>
      <c r="T463" s="229"/>
      <c r="U463" s="196">
        <v>462</v>
      </c>
    </row>
    <row r="464" spans="1:21" ht="15" customHeight="1">
      <c r="A464" s="190" t="str">
        <f t="shared" si="28"/>
        <v>463- -W</v>
      </c>
      <c r="B464" s="123"/>
      <c r="C464" s="125"/>
      <c r="D464" s="190" t="str" cm="1">
        <f t="array" ref="D464">IFERROR(VLOOKUP(C464,Old_Model_Registry!$B$2:$K$500,{3,10,8,9},0),"")</f>
        <v/>
      </c>
      <c r="E464" s="190"/>
      <c r="F464" s="190"/>
      <c r="G464" s="191"/>
      <c r="H464" s="192">
        <f t="shared" si="29"/>
        <v>0</v>
      </c>
      <c r="I464" s="121"/>
      <c r="J464" s="193" t="str" cm="1">
        <f t="array" ref="J464">IF(I464="No-Retrofit",F464,IFERROR(VLOOKUP(I464,Vstack!$A$2:$L$1000,{8},0),""))</f>
        <v/>
      </c>
      <c r="K464" s="224" t="str" cm="1">
        <f t="array" ref="K464">IF(I464="No-Retrofit",F464,IFERROR(VLOOKUP(I464,Vstack!$A$2:$L$1000,{9},0)*N464,""))</f>
        <v/>
      </c>
      <c r="L464" s="193" t="str" cm="1">
        <f t="array" ref="L464">IF(I464="No-Retrofit",F464,IFERROR(VLOOKUP(I464,Vstack!$A$2:$L$1000,{10,4},0),""))</f>
        <v/>
      </c>
      <c r="M464" s="193"/>
      <c r="N464" s="121"/>
      <c r="O464" s="193" t="str">
        <f t="shared" si="30"/>
        <v/>
      </c>
      <c r="P464" s="195" t="str">
        <f t="shared" si="31"/>
        <v/>
      </c>
      <c r="Q464" s="230"/>
      <c r="R464" s="229"/>
      <c r="S464" s="231"/>
      <c r="T464" s="229"/>
      <c r="U464" s="196">
        <v>463</v>
      </c>
    </row>
    <row r="465" spans="1:21" ht="15" customHeight="1">
      <c r="A465" s="190" t="str">
        <f t="shared" si="28"/>
        <v>464- -W</v>
      </c>
      <c r="B465" s="123"/>
      <c r="C465" s="125"/>
      <c r="D465" s="190" t="str" cm="1">
        <f t="array" ref="D465">IFERROR(VLOOKUP(C465,Old_Model_Registry!$B$2:$K$500,{3,10,8,9},0),"")</f>
        <v/>
      </c>
      <c r="E465" s="190"/>
      <c r="F465" s="190"/>
      <c r="G465" s="191"/>
      <c r="H465" s="192">
        <f t="shared" si="29"/>
        <v>0</v>
      </c>
      <c r="I465" s="121"/>
      <c r="J465" s="193" t="str" cm="1">
        <f t="array" ref="J465">IF(I465="No-Retrofit",F465,IFERROR(VLOOKUP(I465,Vstack!$A$2:$L$1000,{8},0),""))</f>
        <v/>
      </c>
      <c r="K465" s="224" t="str" cm="1">
        <f t="array" ref="K465">IF(I465="No-Retrofit",F465,IFERROR(VLOOKUP(I465,Vstack!$A$2:$L$1000,{9},0)*N465,""))</f>
        <v/>
      </c>
      <c r="L465" s="193" t="str" cm="1">
        <f t="array" ref="L465">IF(I465="No-Retrofit",F465,IFERROR(VLOOKUP(I465,Vstack!$A$2:$L$1000,{10,4},0),""))</f>
        <v/>
      </c>
      <c r="M465" s="193"/>
      <c r="N465" s="121"/>
      <c r="O465" s="193" t="str">
        <f t="shared" si="30"/>
        <v/>
      </c>
      <c r="P465" s="195" t="str">
        <f t="shared" si="31"/>
        <v/>
      </c>
      <c r="Q465" s="230"/>
      <c r="R465" s="229"/>
      <c r="S465" s="231"/>
      <c r="T465" s="229"/>
      <c r="U465" s="196">
        <v>464</v>
      </c>
    </row>
    <row r="466" spans="1:21" ht="15" customHeight="1">
      <c r="A466" s="190" t="str">
        <f t="shared" si="28"/>
        <v>465- -W</v>
      </c>
      <c r="B466" s="123"/>
      <c r="C466" s="125"/>
      <c r="D466" s="190" t="str" cm="1">
        <f t="array" ref="D466">IFERROR(VLOOKUP(C466,Old_Model_Registry!$B$2:$K$500,{3,10,8,9},0),"")</f>
        <v/>
      </c>
      <c r="E466" s="190"/>
      <c r="F466" s="190"/>
      <c r="G466" s="191"/>
      <c r="H466" s="192">
        <f t="shared" si="29"/>
        <v>0</v>
      </c>
      <c r="I466" s="121"/>
      <c r="J466" s="193" t="str" cm="1">
        <f t="array" ref="J466">IF(I466="No-Retrofit",F466,IFERROR(VLOOKUP(I466,Vstack!$A$2:$L$1000,{8},0),""))</f>
        <v/>
      </c>
      <c r="K466" s="224" t="str" cm="1">
        <f t="array" ref="K466">IF(I466="No-Retrofit",F466,IFERROR(VLOOKUP(I466,Vstack!$A$2:$L$1000,{9},0)*N466,""))</f>
        <v/>
      </c>
      <c r="L466" s="193" t="str" cm="1">
        <f t="array" ref="L466">IF(I466="No-Retrofit",F466,IFERROR(VLOOKUP(I466,Vstack!$A$2:$L$1000,{10,4},0),""))</f>
        <v/>
      </c>
      <c r="M466" s="193"/>
      <c r="N466" s="121"/>
      <c r="O466" s="193" t="str">
        <f t="shared" si="30"/>
        <v/>
      </c>
      <c r="P466" s="195" t="str">
        <f t="shared" si="31"/>
        <v/>
      </c>
      <c r="Q466" s="230"/>
      <c r="R466" s="229"/>
      <c r="S466" s="231"/>
      <c r="T466" s="229"/>
      <c r="U466" s="196">
        <v>465</v>
      </c>
    </row>
    <row r="467" spans="1:21" ht="15" customHeight="1">
      <c r="A467" s="190" t="str">
        <f t="shared" si="28"/>
        <v>466- -W</v>
      </c>
      <c r="B467" s="123"/>
      <c r="C467" s="125"/>
      <c r="D467" s="190" t="str" cm="1">
        <f t="array" ref="D467">IFERROR(VLOOKUP(C467,Old_Model_Registry!$B$2:$K$500,{3,10,8,9},0),"")</f>
        <v/>
      </c>
      <c r="E467" s="190"/>
      <c r="F467" s="190"/>
      <c r="G467" s="191"/>
      <c r="H467" s="192">
        <f t="shared" si="29"/>
        <v>0</v>
      </c>
      <c r="I467" s="121"/>
      <c r="J467" s="193" t="str" cm="1">
        <f t="array" ref="J467">IF(I467="No-Retrofit",F467,IFERROR(VLOOKUP(I467,Vstack!$A$2:$L$1000,{8},0),""))</f>
        <v/>
      </c>
      <c r="K467" s="224" t="str" cm="1">
        <f t="array" ref="K467">IF(I467="No-Retrofit",F467,IFERROR(VLOOKUP(I467,Vstack!$A$2:$L$1000,{9},0)*N467,""))</f>
        <v/>
      </c>
      <c r="L467" s="193" t="str" cm="1">
        <f t="array" ref="L467">IF(I467="No-Retrofit",F467,IFERROR(VLOOKUP(I467,Vstack!$A$2:$L$1000,{10,4},0),""))</f>
        <v/>
      </c>
      <c r="M467" s="193"/>
      <c r="N467" s="121"/>
      <c r="O467" s="193" t="str">
        <f t="shared" si="30"/>
        <v/>
      </c>
      <c r="P467" s="195" t="str">
        <f t="shared" si="31"/>
        <v/>
      </c>
      <c r="Q467" s="230"/>
      <c r="R467" s="229"/>
      <c r="S467" s="231"/>
      <c r="T467" s="229"/>
      <c r="U467" s="196">
        <v>466</v>
      </c>
    </row>
    <row r="468" spans="1:21" ht="15" customHeight="1">
      <c r="A468" s="190" t="str">
        <f t="shared" si="28"/>
        <v>467- -W</v>
      </c>
      <c r="B468" s="123"/>
      <c r="C468" s="125"/>
      <c r="D468" s="190" t="str" cm="1">
        <f t="array" ref="D468">IFERROR(VLOOKUP(C468,Old_Model_Registry!$B$2:$K$500,{3,10,8,9},0),"")</f>
        <v/>
      </c>
      <c r="E468" s="190"/>
      <c r="F468" s="190"/>
      <c r="G468" s="191"/>
      <c r="H468" s="192">
        <f t="shared" si="29"/>
        <v>0</v>
      </c>
      <c r="I468" s="121"/>
      <c r="J468" s="193" t="str" cm="1">
        <f t="array" ref="J468">IF(I468="No-Retrofit",F468,IFERROR(VLOOKUP(I468,Vstack!$A$2:$L$1000,{8},0),""))</f>
        <v/>
      </c>
      <c r="K468" s="224" t="str" cm="1">
        <f t="array" ref="K468">IF(I468="No-Retrofit",F468,IFERROR(VLOOKUP(I468,Vstack!$A$2:$L$1000,{9},0)*N468,""))</f>
        <v/>
      </c>
      <c r="L468" s="193" t="str" cm="1">
        <f t="array" ref="L468">IF(I468="No-Retrofit",F468,IFERROR(VLOOKUP(I468,Vstack!$A$2:$L$1000,{10,4},0),""))</f>
        <v/>
      </c>
      <c r="M468" s="193"/>
      <c r="N468" s="121"/>
      <c r="O468" s="193" t="str">
        <f t="shared" si="30"/>
        <v/>
      </c>
      <c r="P468" s="195" t="str">
        <f t="shared" si="31"/>
        <v/>
      </c>
      <c r="Q468" s="230"/>
      <c r="R468" s="229"/>
      <c r="S468" s="231"/>
      <c r="T468" s="229"/>
      <c r="U468" s="196">
        <v>467</v>
      </c>
    </row>
    <row r="469" spans="1:21" ht="15" customHeight="1">
      <c r="A469" s="190" t="str">
        <f t="shared" si="28"/>
        <v>468- -W</v>
      </c>
      <c r="B469" s="123"/>
      <c r="C469" s="125"/>
      <c r="D469" s="190" t="str" cm="1">
        <f t="array" ref="D469">IFERROR(VLOOKUP(C469,Old_Model_Registry!$B$2:$K$500,{3,10,8,9},0),"")</f>
        <v/>
      </c>
      <c r="E469" s="190"/>
      <c r="F469" s="190"/>
      <c r="G469" s="191"/>
      <c r="H469" s="192">
        <f t="shared" si="29"/>
        <v>0</v>
      </c>
      <c r="I469" s="121"/>
      <c r="J469" s="193" t="str" cm="1">
        <f t="array" ref="J469">IF(I469="No-Retrofit",F469,IFERROR(VLOOKUP(I469,Vstack!$A$2:$L$1000,{8},0),""))</f>
        <v/>
      </c>
      <c r="K469" s="224" t="str" cm="1">
        <f t="array" ref="K469">IF(I469="No-Retrofit",F469,IFERROR(VLOOKUP(I469,Vstack!$A$2:$L$1000,{9},0)*N469,""))</f>
        <v/>
      </c>
      <c r="L469" s="193" t="str" cm="1">
        <f t="array" ref="L469">IF(I469="No-Retrofit",F469,IFERROR(VLOOKUP(I469,Vstack!$A$2:$L$1000,{10,4},0),""))</f>
        <v/>
      </c>
      <c r="M469" s="193"/>
      <c r="N469" s="121"/>
      <c r="O469" s="193" t="str">
        <f t="shared" si="30"/>
        <v/>
      </c>
      <c r="P469" s="195" t="str">
        <f t="shared" si="31"/>
        <v/>
      </c>
      <c r="Q469" s="230"/>
      <c r="R469" s="229"/>
      <c r="S469" s="231"/>
      <c r="T469" s="229"/>
      <c r="U469" s="196">
        <v>468</v>
      </c>
    </row>
    <row r="470" spans="1:21" ht="15" customHeight="1">
      <c r="A470" s="190" t="str">
        <f t="shared" si="28"/>
        <v>469- -W</v>
      </c>
      <c r="B470" s="123"/>
      <c r="C470" s="125"/>
      <c r="D470" s="190" t="str" cm="1">
        <f t="array" ref="D470">IFERROR(VLOOKUP(C470,Old_Model_Registry!$B$2:$K$500,{3,10,8,9},0),"")</f>
        <v/>
      </c>
      <c r="E470" s="190"/>
      <c r="F470" s="190"/>
      <c r="G470" s="191"/>
      <c r="H470" s="192">
        <f t="shared" si="29"/>
        <v>0</v>
      </c>
      <c r="I470" s="121"/>
      <c r="J470" s="193" t="str" cm="1">
        <f t="array" ref="J470">IF(I470="No-Retrofit",F470,IFERROR(VLOOKUP(I470,Vstack!$A$2:$L$1000,{8},0),""))</f>
        <v/>
      </c>
      <c r="K470" s="224" t="str" cm="1">
        <f t="array" ref="K470">IF(I470="No-Retrofit",F470,IFERROR(VLOOKUP(I470,Vstack!$A$2:$L$1000,{9},0)*N470,""))</f>
        <v/>
      </c>
      <c r="L470" s="193" t="str" cm="1">
        <f t="array" ref="L470">IF(I470="No-Retrofit",F470,IFERROR(VLOOKUP(I470,Vstack!$A$2:$L$1000,{10,4},0),""))</f>
        <v/>
      </c>
      <c r="M470" s="193"/>
      <c r="N470" s="121"/>
      <c r="O470" s="193" t="str">
        <f t="shared" si="30"/>
        <v/>
      </c>
      <c r="P470" s="195" t="str">
        <f t="shared" si="31"/>
        <v/>
      </c>
      <c r="Q470" s="230"/>
      <c r="R470" s="229"/>
      <c r="S470" s="231"/>
      <c r="T470" s="229"/>
      <c r="U470" s="196">
        <v>469</v>
      </c>
    </row>
    <row r="471" spans="1:21" ht="15" customHeight="1">
      <c r="A471" s="190" t="str">
        <f t="shared" si="28"/>
        <v>470- -W</v>
      </c>
      <c r="B471" s="123"/>
      <c r="C471" s="125"/>
      <c r="D471" s="190" t="str" cm="1">
        <f t="array" ref="D471">IFERROR(VLOOKUP(C471,Old_Model_Registry!$B$2:$K$500,{3,10,8,9},0),"")</f>
        <v/>
      </c>
      <c r="E471" s="190"/>
      <c r="F471" s="190"/>
      <c r="G471" s="191"/>
      <c r="H471" s="192">
        <f t="shared" si="29"/>
        <v>0</v>
      </c>
      <c r="I471" s="121"/>
      <c r="J471" s="193" t="str" cm="1">
        <f t="array" ref="J471">IF(I471="No-Retrofit",F471,IFERROR(VLOOKUP(I471,Vstack!$A$2:$L$1000,{8},0),""))</f>
        <v/>
      </c>
      <c r="K471" s="224" t="str" cm="1">
        <f t="array" ref="K471">IF(I471="No-Retrofit",F471,IFERROR(VLOOKUP(I471,Vstack!$A$2:$L$1000,{9},0)*N471,""))</f>
        <v/>
      </c>
      <c r="L471" s="193" t="str" cm="1">
        <f t="array" ref="L471">IF(I471="No-Retrofit",F471,IFERROR(VLOOKUP(I471,Vstack!$A$2:$L$1000,{10,4},0),""))</f>
        <v/>
      </c>
      <c r="M471" s="193"/>
      <c r="N471" s="121"/>
      <c r="O471" s="193" t="str">
        <f t="shared" si="30"/>
        <v/>
      </c>
      <c r="P471" s="195" t="str">
        <f t="shared" si="31"/>
        <v/>
      </c>
      <c r="Q471" s="230"/>
      <c r="R471" s="229"/>
      <c r="S471" s="231"/>
      <c r="T471" s="229"/>
      <c r="U471" s="196">
        <v>470</v>
      </c>
    </row>
    <row r="472" spans="1:21" ht="15" customHeight="1">
      <c r="A472" s="190" t="str">
        <f t="shared" si="28"/>
        <v>471- -W</v>
      </c>
      <c r="B472" s="123"/>
      <c r="C472" s="125"/>
      <c r="D472" s="190" t="str" cm="1">
        <f t="array" ref="D472">IFERROR(VLOOKUP(C472,Old_Model_Registry!$B$2:$K$500,{3,10,8,9},0),"")</f>
        <v/>
      </c>
      <c r="E472" s="190"/>
      <c r="F472" s="190"/>
      <c r="G472" s="191"/>
      <c r="H472" s="192">
        <f t="shared" si="29"/>
        <v>0</v>
      </c>
      <c r="I472" s="121"/>
      <c r="J472" s="193" t="str" cm="1">
        <f t="array" ref="J472">IF(I472="No-Retrofit",F472,IFERROR(VLOOKUP(I472,Vstack!$A$2:$L$1000,{8},0),""))</f>
        <v/>
      </c>
      <c r="K472" s="224" t="str" cm="1">
        <f t="array" ref="K472">IF(I472="No-Retrofit",F472,IFERROR(VLOOKUP(I472,Vstack!$A$2:$L$1000,{9},0)*N472,""))</f>
        <v/>
      </c>
      <c r="L472" s="193" t="str" cm="1">
        <f t="array" ref="L472">IF(I472="No-Retrofit",F472,IFERROR(VLOOKUP(I472,Vstack!$A$2:$L$1000,{10,4},0),""))</f>
        <v/>
      </c>
      <c r="M472" s="193"/>
      <c r="N472" s="121"/>
      <c r="O472" s="193" t="str">
        <f t="shared" si="30"/>
        <v/>
      </c>
      <c r="P472" s="195" t="str">
        <f t="shared" si="31"/>
        <v/>
      </c>
      <c r="Q472" s="230"/>
      <c r="R472" s="229"/>
      <c r="S472" s="231"/>
      <c r="T472" s="229"/>
      <c r="U472" s="196">
        <v>471</v>
      </c>
    </row>
    <row r="473" spans="1:21" ht="15" customHeight="1">
      <c r="A473" s="190" t="str">
        <f t="shared" si="28"/>
        <v>472- -W</v>
      </c>
      <c r="B473" s="123"/>
      <c r="C473" s="125"/>
      <c r="D473" s="190" t="str" cm="1">
        <f t="array" ref="D473">IFERROR(VLOOKUP(C473,Old_Model_Registry!$B$2:$K$500,{3,10,8,9},0),"")</f>
        <v/>
      </c>
      <c r="E473" s="190"/>
      <c r="F473" s="190"/>
      <c r="G473" s="191"/>
      <c r="H473" s="192">
        <f t="shared" si="29"/>
        <v>0</v>
      </c>
      <c r="I473" s="121"/>
      <c r="J473" s="193" t="str" cm="1">
        <f t="array" ref="J473">IF(I473="No-Retrofit",F473,IFERROR(VLOOKUP(I473,Vstack!$A$2:$L$1000,{8},0),""))</f>
        <v/>
      </c>
      <c r="K473" s="224" t="str" cm="1">
        <f t="array" ref="K473">IF(I473="No-Retrofit",F473,IFERROR(VLOOKUP(I473,Vstack!$A$2:$L$1000,{9},0)*N473,""))</f>
        <v/>
      </c>
      <c r="L473" s="193" t="str" cm="1">
        <f t="array" ref="L473">IF(I473="No-Retrofit",F473,IFERROR(VLOOKUP(I473,Vstack!$A$2:$L$1000,{10,4},0),""))</f>
        <v/>
      </c>
      <c r="M473" s="193"/>
      <c r="N473" s="121"/>
      <c r="O473" s="193" t="str">
        <f t="shared" si="30"/>
        <v/>
      </c>
      <c r="P473" s="195" t="str">
        <f t="shared" si="31"/>
        <v/>
      </c>
      <c r="Q473" s="230"/>
      <c r="R473" s="229"/>
      <c r="S473" s="231"/>
      <c r="T473" s="229"/>
      <c r="U473" s="196">
        <v>472</v>
      </c>
    </row>
    <row r="474" spans="1:21" ht="15" customHeight="1">
      <c r="A474" s="190" t="str">
        <f t="shared" si="28"/>
        <v>473- -W</v>
      </c>
      <c r="B474" s="123"/>
      <c r="C474" s="125"/>
      <c r="D474" s="190" t="str" cm="1">
        <f t="array" ref="D474">IFERROR(VLOOKUP(C474,Old_Model_Registry!$B$2:$K$500,{3,10,8,9},0),"")</f>
        <v/>
      </c>
      <c r="E474" s="190"/>
      <c r="F474" s="190"/>
      <c r="G474" s="191"/>
      <c r="H474" s="192">
        <f t="shared" si="29"/>
        <v>0</v>
      </c>
      <c r="I474" s="121"/>
      <c r="J474" s="193" t="str" cm="1">
        <f t="array" ref="J474">IF(I474="No-Retrofit",F474,IFERROR(VLOOKUP(I474,Vstack!$A$2:$L$1000,{8},0),""))</f>
        <v/>
      </c>
      <c r="K474" s="224" t="str" cm="1">
        <f t="array" ref="K474">IF(I474="No-Retrofit",F474,IFERROR(VLOOKUP(I474,Vstack!$A$2:$L$1000,{9},0)*N474,""))</f>
        <v/>
      </c>
      <c r="L474" s="193" t="str" cm="1">
        <f t="array" ref="L474">IF(I474="No-Retrofit",F474,IFERROR(VLOOKUP(I474,Vstack!$A$2:$L$1000,{10,4},0),""))</f>
        <v/>
      </c>
      <c r="M474" s="193"/>
      <c r="N474" s="121"/>
      <c r="O474" s="193" t="str">
        <f t="shared" si="30"/>
        <v/>
      </c>
      <c r="P474" s="195" t="str">
        <f t="shared" si="31"/>
        <v/>
      </c>
      <c r="Q474" s="230"/>
      <c r="R474" s="229"/>
      <c r="S474" s="231"/>
      <c r="T474" s="229"/>
      <c r="U474" s="196">
        <v>473</v>
      </c>
    </row>
    <row r="475" spans="1:21" ht="15" customHeight="1">
      <c r="A475" s="190" t="str">
        <f t="shared" si="28"/>
        <v>474- -W</v>
      </c>
      <c r="B475" s="123"/>
      <c r="C475" s="125"/>
      <c r="D475" s="190" t="str" cm="1">
        <f t="array" ref="D475">IFERROR(VLOOKUP(C475,Old_Model_Registry!$B$2:$K$500,{3,10,8,9},0),"")</f>
        <v/>
      </c>
      <c r="E475" s="190"/>
      <c r="F475" s="190"/>
      <c r="G475" s="191"/>
      <c r="H475" s="192">
        <f t="shared" si="29"/>
        <v>0</v>
      </c>
      <c r="I475" s="121"/>
      <c r="J475" s="193" t="str" cm="1">
        <f t="array" ref="J475">IF(I475="No-Retrofit",F475,IFERROR(VLOOKUP(I475,Vstack!$A$2:$L$1000,{8},0),""))</f>
        <v/>
      </c>
      <c r="K475" s="224" t="str" cm="1">
        <f t="array" ref="K475">IF(I475="No-Retrofit",F475,IFERROR(VLOOKUP(I475,Vstack!$A$2:$L$1000,{9},0)*N475,""))</f>
        <v/>
      </c>
      <c r="L475" s="193" t="str" cm="1">
        <f t="array" ref="L475">IF(I475="No-Retrofit",F475,IFERROR(VLOOKUP(I475,Vstack!$A$2:$L$1000,{10,4},0),""))</f>
        <v/>
      </c>
      <c r="M475" s="193"/>
      <c r="N475" s="121"/>
      <c r="O475" s="193" t="str">
        <f t="shared" si="30"/>
        <v/>
      </c>
      <c r="P475" s="195" t="str">
        <f t="shared" si="31"/>
        <v/>
      </c>
      <c r="Q475" s="230"/>
      <c r="R475" s="229"/>
      <c r="S475" s="231"/>
      <c r="T475" s="229"/>
      <c r="U475" s="196">
        <v>474</v>
      </c>
    </row>
    <row r="476" spans="1:21" ht="15" customHeight="1">
      <c r="A476" s="190" t="str">
        <f t="shared" si="28"/>
        <v>475- -W</v>
      </c>
      <c r="B476" s="123"/>
      <c r="C476" s="125"/>
      <c r="D476" s="190" t="str" cm="1">
        <f t="array" ref="D476">IFERROR(VLOOKUP(C476,Old_Model_Registry!$B$2:$K$500,{3,10,8,9},0),"")</f>
        <v/>
      </c>
      <c r="E476" s="190"/>
      <c r="F476" s="190"/>
      <c r="G476" s="191"/>
      <c r="H476" s="192">
        <f t="shared" si="29"/>
        <v>0</v>
      </c>
      <c r="I476" s="121"/>
      <c r="J476" s="193" t="str" cm="1">
        <f t="array" ref="J476">IF(I476="No-Retrofit",F476,IFERROR(VLOOKUP(I476,Vstack!$A$2:$L$1000,{8},0),""))</f>
        <v/>
      </c>
      <c r="K476" s="224" t="str" cm="1">
        <f t="array" ref="K476">IF(I476="No-Retrofit",F476,IFERROR(VLOOKUP(I476,Vstack!$A$2:$L$1000,{9},0)*N476,""))</f>
        <v/>
      </c>
      <c r="L476" s="193" t="str" cm="1">
        <f t="array" ref="L476">IF(I476="No-Retrofit",F476,IFERROR(VLOOKUP(I476,Vstack!$A$2:$L$1000,{10,4},0),""))</f>
        <v/>
      </c>
      <c r="M476" s="193"/>
      <c r="N476" s="121"/>
      <c r="O476" s="193" t="str">
        <f t="shared" si="30"/>
        <v/>
      </c>
      <c r="P476" s="195" t="str">
        <f t="shared" si="31"/>
        <v/>
      </c>
      <c r="Q476" s="230"/>
      <c r="R476" s="229"/>
      <c r="S476" s="231"/>
      <c r="T476" s="229"/>
      <c r="U476" s="196">
        <v>475</v>
      </c>
    </row>
    <row r="477" spans="1:21" ht="15" customHeight="1">
      <c r="A477" s="190" t="str">
        <f t="shared" si="28"/>
        <v>476- -W</v>
      </c>
      <c r="B477" s="123"/>
      <c r="C477" s="125"/>
      <c r="D477" s="190" t="str" cm="1">
        <f t="array" ref="D477">IFERROR(VLOOKUP(C477,Old_Model_Registry!$B$2:$K$500,{3,10,8,9},0),"")</f>
        <v/>
      </c>
      <c r="E477" s="190"/>
      <c r="F477" s="190"/>
      <c r="G477" s="191"/>
      <c r="H477" s="192">
        <f t="shared" si="29"/>
        <v>0</v>
      </c>
      <c r="I477" s="121"/>
      <c r="J477" s="193" t="str" cm="1">
        <f t="array" ref="J477">IF(I477="No-Retrofit",F477,IFERROR(VLOOKUP(I477,Vstack!$A$2:$L$1000,{8},0),""))</f>
        <v/>
      </c>
      <c r="K477" s="224" t="str" cm="1">
        <f t="array" ref="K477">IF(I477="No-Retrofit",F477,IFERROR(VLOOKUP(I477,Vstack!$A$2:$L$1000,{9},0)*N477,""))</f>
        <v/>
      </c>
      <c r="L477" s="193" t="str" cm="1">
        <f t="array" ref="L477">IF(I477="No-Retrofit",F477,IFERROR(VLOOKUP(I477,Vstack!$A$2:$L$1000,{10,4},0),""))</f>
        <v/>
      </c>
      <c r="M477" s="193"/>
      <c r="N477" s="121"/>
      <c r="O477" s="193" t="str">
        <f t="shared" si="30"/>
        <v/>
      </c>
      <c r="P477" s="195" t="str">
        <f t="shared" si="31"/>
        <v/>
      </c>
      <c r="Q477" s="230"/>
      <c r="R477" s="229"/>
      <c r="S477" s="231"/>
      <c r="T477" s="229"/>
      <c r="U477" s="196">
        <v>476</v>
      </c>
    </row>
    <row r="478" spans="1:21" ht="15" customHeight="1">
      <c r="A478" s="190" t="str">
        <f t="shared" si="28"/>
        <v>477- -W</v>
      </c>
      <c r="B478" s="123"/>
      <c r="C478" s="125"/>
      <c r="D478" s="190" t="str" cm="1">
        <f t="array" ref="D478">IFERROR(VLOOKUP(C478,Old_Model_Registry!$B$2:$K$500,{3,10,8,9},0),"")</f>
        <v/>
      </c>
      <c r="E478" s="190"/>
      <c r="F478" s="190"/>
      <c r="G478" s="191"/>
      <c r="H478" s="192">
        <f t="shared" si="29"/>
        <v>0</v>
      </c>
      <c r="I478" s="121"/>
      <c r="J478" s="193" t="str" cm="1">
        <f t="array" ref="J478">IF(I478="No-Retrofit",F478,IFERROR(VLOOKUP(I478,Vstack!$A$2:$L$1000,{8},0),""))</f>
        <v/>
      </c>
      <c r="K478" s="224" t="str" cm="1">
        <f t="array" ref="K478">IF(I478="No-Retrofit",F478,IFERROR(VLOOKUP(I478,Vstack!$A$2:$L$1000,{9},0)*N478,""))</f>
        <v/>
      </c>
      <c r="L478" s="193" t="str" cm="1">
        <f t="array" ref="L478">IF(I478="No-Retrofit",F478,IFERROR(VLOOKUP(I478,Vstack!$A$2:$L$1000,{10,4},0),""))</f>
        <v/>
      </c>
      <c r="M478" s="193"/>
      <c r="N478" s="121"/>
      <c r="O478" s="193" t="str">
        <f t="shared" si="30"/>
        <v/>
      </c>
      <c r="P478" s="195" t="str">
        <f t="shared" si="31"/>
        <v/>
      </c>
      <c r="Q478" s="230"/>
      <c r="R478" s="229"/>
      <c r="S478" s="231"/>
      <c r="T478" s="229"/>
      <c r="U478" s="196">
        <v>477</v>
      </c>
    </row>
    <row r="479" spans="1:21" ht="15" customHeight="1">
      <c r="A479" s="190" t="str">
        <f t="shared" si="28"/>
        <v>478- -W</v>
      </c>
      <c r="B479" s="123"/>
      <c r="C479" s="125"/>
      <c r="D479" s="190" t="str" cm="1">
        <f t="array" ref="D479">IFERROR(VLOOKUP(C479,Old_Model_Registry!$B$2:$K$500,{3,10,8,9},0),"")</f>
        <v/>
      </c>
      <c r="E479" s="190"/>
      <c r="F479" s="190"/>
      <c r="G479" s="191"/>
      <c r="H479" s="192">
        <f t="shared" si="29"/>
        <v>0</v>
      </c>
      <c r="I479" s="121"/>
      <c r="J479" s="193" t="str" cm="1">
        <f t="array" ref="J479">IF(I479="No-Retrofit",F479,IFERROR(VLOOKUP(I479,Vstack!$A$2:$L$1000,{8},0),""))</f>
        <v/>
      </c>
      <c r="K479" s="224" t="str" cm="1">
        <f t="array" ref="K479">IF(I479="No-Retrofit",F479,IFERROR(VLOOKUP(I479,Vstack!$A$2:$L$1000,{9},0)*N479,""))</f>
        <v/>
      </c>
      <c r="L479" s="193" t="str" cm="1">
        <f t="array" ref="L479">IF(I479="No-Retrofit",F479,IFERROR(VLOOKUP(I479,Vstack!$A$2:$L$1000,{10,4},0),""))</f>
        <v/>
      </c>
      <c r="M479" s="193"/>
      <c r="N479" s="121"/>
      <c r="O479" s="193" t="str">
        <f t="shared" si="30"/>
        <v/>
      </c>
      <c r="P479" s="195" t="str">
        <f t="shared" si="31"/>
        <v/>
      </c>
      <c r="Q479" s="230"/>
      <c r="R479" s="229"/>
      <c r="S479" s="231"/>
      <c r="T479" s="229"/>
      <c r="U479" s="196">
        <v>478</v>
      </c>
    </row>
    <row r="480" spans="1:21" ht="15" customHeight="1">
      <c r="A480" s="190" t="str">
        <f t="shared" si="28"/>
        <v>479- -W</v>
      </c>
      <c r="B480" s="123"/>
      <c r="C480" s="125"/>
      <c r="D480" s="190" t="str" cm="1">
        <f t="array" ref="D480">IFERROR(VLOOKUP(C480,Old_Model_Registry!$B$2:$K$500,{3,10,8,9},0),"")</f>
        <v/>
      </c>
      <c r="E480" s="190"/>
      <c r="F480" s="190"/>
      <c r="G480" s="191"/>
      <c r="H480" s="192">
        <f t="shared" si="29"/>
        <v>0</v>
      </c>
      <c r="I480" s="121"/>
      <c r="J480" s="193" t="str" cm="1">
        <f t="array" ref="J480">IF(I480="No-Retrofit",F480,IFERROR(VLOOKUP(I480,Vstack!$A$2:$L$1000,{8},0),""))</f>
        <v/>
      </c>
      <c r="K480" s="224" t="str" cm="1">
        <f t="array" ref="K480">IF(I480="No-Retrofit",F480,IFERROR(VLOOKUP(I480,Vstack!$A$2:$L$1000,{9},0)*N480,""))</f>
        <v/>
      </c>
      <c r="L480" s="193" t="str" cm="1">
        <f t="array" ref="L480">IF(I480="No-Retrofit",F480,IFERROR(VLOOKUP(I480,Vstack!$A$2:$L$1000,{10,4},0),""))</f>
        <v/>
      </c>
      <c r="M480" s="193"/>
      <c r="N480" s="121"/>
      <c r="O480" s="193" t="str">
        <f t="shared" si="30"/>
        <v/>
      </c>
      <c r="P480" s="195" t="str">
        <f t="shared" si="31"/>
        <v/>
      </c>
      <c r="Q480" s="230"/>
      <c r="R480" s="229"/>
      <c r="S480" s="231"/>
      <c r="T480" s="229"/>
      <c r="U480" s="196">
        <v>479</v>
      </c>
    </row>
    <row r="481" spans="1:21" ht="15" customHeight="1">
      <c r="A481" s="190" t="str">
        <f t="shared" si="28"/>
        <v>480- -W</v>
      </c>
      <c r="B481" s="123"/>
      <c r="C481" s="125"/>
      <c r="D481" s="190" t="str" cm="1">
        <f t="array" ref="D481">IFERROR(VLOOKUP(C481,Old_Model_Registry!$B$2:$K$500,{3,10,8,9},0),"")</f>
        <v/>
      </c>
      <c r="E481" s="190"/>
      <c r="F481" s="190"/>
      <c r="G481" s="191"/>
      <c r="H481" s="192">
        <f t="shared" si="29"/>
        <v>0</v>
      </c>
      <c r="I481" s="121"/>
      <c r="J481" s="193" t="str" cm="1">
        <f t="array" ref="J481">IF(I481="No-Retrofit",F481,IFERROR(VLOOKUP(I481,Vstack!$A$2:$L$1000,{8},0),""))</f>
        <v/>
      </c>
      <c r="K481" s="224" t="str" cm="1">
        <f t="array" ref="K481">IF(I481="No-Retrofit",F481,IFERROR(VLOOKUP(I481,Vstack!$A$2:$L$1000,{9},0)*N481,""))</f>
        <v/>
      </c>
      <c r="L481" s="193" t="str" cm="1">
        <f t="array" ref="L481">IF(I481="No-Retrofit",F481,IFERROR(VLOOKUP(I481,Vstack!$A$2:$L$1000,{10,4},0),""))</f>
        <v/>
      </c>
      <c r="M481" s="193"/>
      <c r="N481" s="121"/>
      <c r="O481" s="193" t="str">
        <f t="shared" si="30"/>
        <v/>
      </c>
      <c r="P481" s="195" t="str">
        <f t="shared" si="31"/>
        <v/>
      </c>
      <c r="Q481" s="230"/>
      <c r="R481" s="229"/>
      <c r="S481" s="231"/>
      <c r="T481" s="229"/>
      <c r="U481" s="196">
        <v>480</v>
      </c>
    </row>
    <row r="482" spans="1:21" ht="15" customHeight="1">
      <c r="A482" s="190" t="str">
        <f t="shared" si="28"/>
        <v>481- -W</v>
      </c>
      <c r="B482" s="123"/>
      <c r="C482" s="125"/>
      <c r="D482" s="190" t="str" cm="1">
        <f t="array" ref="D482">IFERROR(VLOOKUP(C482,Old_Model_Registry!$B$2:$K$500,{3,10,8,9},0),"")</f>
        <v/>
      </c>
      <c r="E482" s="190"/>
      <c r="F482" s="190"/>
      <c r="G482" s="191"/>
      <c r="H482" s="192">
        <f t="shared" si="29"/>
        <v>0</v>
      </c>
      <c r="I482" s="121"/>
      <c r="J482" s="193" t="str" cm="1">
        <f t="array" ref="J482">IF(I482="No-Retrofit",F482,IFERROR(VLOOKUP(I482,Vstack!$A$2:$L$1000,{8},0),""))</f>
        <v/>
      </c>
      <c r="K482" s="224" t="str" cm="1">
        <f t="array" ref="K482">IF(I482="No-Retrofit",F482,IFERROR(VLOOKUP(I482,Vstack!$A$2:$L$1000,{9},0)*N482,""))</f>
        <v/>
      </c>
      <c r="L482" s="193" t="str" cm="1">
        <f t="array" ref="L482">IF(I482="No-Retrofit",F482,IFERROR(VLOOKUP(I482,Vstack!$A$2:$L$1000,{10,4},0),""))</f>
        <v/>
      </c>
      <c r="M482" s="193"/>
      <c r="N482" s="121"/>
      <c r="O482" s="193" t="str">
        <f t="shared" si="30"/>
        <v/>
      </c>
      <c r="P482" s="195" t="str">
        <f t="shared" si="31"/>
        <v/>
      </c>
      <c r="Q482" s="230"/>
      <c r="R482" s="229"/>
      <c r="S482" s="231"/>
      <c r="T482" s="229"/>
      <c r="U482" s="196">
        <v>481</v>
      </c>
    </row>
    <row r="483" spans="1:21" ht="15" customHeight="1">
      <c r="A483" s="190" t="str">
        <f t="shared" si="28"/>
        <v>482- -W</v>
      </c>
      <c r="B483" s="123"/>
      <c r="C483" s="125"/>
      <c r="D483" s="190" t="str" cm="1">
        <f t="array" ref="D483">IFERROR(VLOOKUP(C483,Old_Model_Registry!$B$2:$K$500,{3,10,8,9},0),"")</f>
        <v/>
      </c>
      <c r="E483" s="190"/>
      <c r="F483" s="190"/>
      <c r="G483" s="191"/>
      <c r="H483" s="192">
        <f t="shared" si="29"/>
        <v>0</v>
      </c>
      <c r="I483" s="121"/>
      <c r="J483" s="193" t="str" cm="1">
        <f t="array" ref="J483">IF(I483="No-Retrofit",F483,IFERROR(VLOOKUP(I483,Vstack!$A$2:$L$1000,{8},0),""))</f>
        <v/>
      </c>
      <c r="K483" s="224" t="str" cm="1">
        <f t="array" ref="K483">IF(I483="No-Retrofit",F483,IFERROR(VLOOKUP(I483,Vstack!$A$2:$L$1000,{9},0)*N483,""))</f>
        <v/>
      </c>
      <c r="L483" s="193" t="str" cm="1">
        <f t="array" ref="L483">IF(I483="No-Retrofit",F483,IFERROR(VLOOKUP(I483,Vstack!$A$2:$L$1000,{10,4},0),""))</f>
        <v/>
      </c>
      <c r="M483" s="193"/>
      <c r="N483" s="121"/>
      <c r="O483" s="193" t="str">
        <f t="shared" si="30"/>
        <v/>
      </c>
      <c r="P483" s="195" t="str">
        <f t="shared" si="31"/>
        <v/>
      </c>
      <c r="Q483" s="230"/>
      <c r="R483" s="229"/>
      <c r="S483" s="231"/>
      <c r="T483" s="229"/>
      <c r="U483" s="196">
        <v>482</v>
      </c>
    </row>
    <row r="484" spans="1:21" ht="15" customHeight="1">
      <c r="A484" s="190" t="str">
        <f t="shared" si="28"/>
        <v>483- -W</v>
      </c>
      <c r="B484" s="123"/>
      <c r="C484" s="125"/>
      <c r="D484" s="190" t="str" cm="1">
        <f t="array" ref="D484">IFERROR(VLOOKUP(C484,Old_Model_Registry!$B$2:$K$500,{3,10,8,9},0),"")</f>
        <v/>
      </c>
      <c r="E484" s="190"/>
      <c r="F484" s="190"/>
      <c r="G484" s="191"/>
      <c r="H484" s="192">
        <f t="shared" si="29"/>
        <v>0</v>
      </c>
      <c r="I484" s="121"/>
      <c r="J484" s="193" t="str" cm="1">
        <f t="array" ref="J484">IF(I484="No-Retrofit",F484,IFERROR(VLOOKUP(I484,Vstack!$A$2:$L$1000,{8},0),""))</f>
        <v/>
      </c>
      <c r="K484" s="224" t="str" cm="1">
        <f t="array" ref="K484">IF(I484="No-Retrofit",F484,IFERROR(VLOOKUP(I484,Vstack!$A$2:$L$1000,{9},0)*N484,""))</f>
        <v/>
      </c>
      <c r="L484" s="193" t="str" cm="1">
        <f t="array" ref="L484">IF(I484="No-Retrofit",F484,IFERROR(VLOOKUP(I484,Vstack!$A$2:$L$1000,{10,4},0),""))</f>
        <v/>
      </c>
      <c r="M484" s="193"/>
      <c r="N484" s="121"/>
      <c r="O484" s="193" t="str">
        <f t="shared" si="30"/>
        <v/>
      </c>
      <c r="P484" s="195" t="str">
        <f t="shared" si="31"/>
        <v/>
      </c>
      <c r="Q484" s="230"/>
      <c r="R484" s="229"/>
      <c r="S484" s="231"/>
      <c r="T484" s="229"/>
      <c r="U484" s="196">
        <v>483</v>
      </c>
    </row>
    <row r="485" spans="1:21" ht="15" customHeight="1">
      <c r="A485" s="190" t="str">
        <f t="shared" si="28"/>
        <v>484- -W</v>
      </c>
      <c r="B485" s="123"/>
      <c r="C485" s="125"/>
      <c r="D485" s="190" t="str" cm="1">
        <f t="array" ref="D485">IFERROR(VLOOKUP(C485,Old_Model_Registry!$B$2:$K$500,{3,10,8,9},0),"")</f>
        <v/>
      </c>
      <c r="E485" s="190"/>
      <c r="F485" s="190"/>
      <c r="G485" s="191"/>
      <c r="H485" s="192">
        <f t="shared" si="29"/>
        <v>0</v>
      </c>
      <c r="I485" s="121"/>
      <c r="J485" s="193" t="str" cm="1">
        <f t="array" ref="J485">IF(I485="No-Retrofit",F485,IFERROR(VLOOKUP(I485,Vstack!$A$2:$L$1000,{8},0),""))</f>
        <v/>
      </c>
      <c r="K485" s="224" t="str" cm="1">
        <f t="array" ref="K485">IF(I485="No-Retrofit",F485,IFERROR(VLOOKUP(I485,Vstack!$A$2:$L$1000,{9},0)*N485,""))</f>
        <v/>
      </c>
      <c r="L485" s="193" t="str" cm="1">
        <f t="array" ref="L485">IF(I485="No-Retrofit",F485,IFERROR(VLOOKUP(I485,Vstack!$A$2:$L$1000,{10,4},0),""))</f>
        <v/>
      </c>
      <c r="M485" s="193"/>
      <c r="N485" s="121"/>
      <c r="O485" s="193" t="str">
        <f t="shared" si="30"/>
        <v/>
      </c>
      <c r="P485" s="195" t="str">
        <f t="shared" si="31"/>
        <v/>
      </c>
      <c r="Q485" s="230"/>
      <c r="R485" s="229"/>
      <c r="S485" s="231"/>
      <c r="T485" s="229"/>
      <c r="U485" s="196">
        <v>484</v>
      </c>
    </row>
    <row r="486" spans="1:21" ht="15" customHeight="1">
      <c r="A486" s="190" t="str">
        <f t="shared" si="28"/>
        <v>485- -W</v>
      </c>
      <c r="B486" s="123"/>
      <c r="C486" s="125"/>
      <c r="D486" s="190" t="str" cm="1">
        <f t="array" ref="D486">IFERROR(VLOOKUP(C486,Old_Model_Registry!$B$2:$K$500,{3,10,8,9},0),"")</f>
        <v/>
      </c>
      <c r="E486" s="190"/>
      <c r="F486" s="190"/>
      <c r="G486" s="191"/>
      <c r="H486" s="192">
        <f t="shared" si="29"/>
        <v>0</v>
      </c>
      <c r="I486" s="121"/>
      <c r="J486" s="193" t="str" cm="1">
        <f t="array" ref="J486">IF(I486="No-Retrofit",F486,IFERROR(VLOOKUP(I486,Vstack!$A$2:$L$1000,{8},0),""))</f>
        <v/>
      </c>
      <c r="K486" s="224" t="str" cm="1">
        <f t="array" ref="K486">IF(I486="No-Retrofit",F486,IFERROR(VLOOKUP(I486,Vstack!$A$2:$L$1000,{9},0)*N486,""))</f>
        <v/>
      </c>
      <c r="L486" s="193" t="str" cm="1">
        <f t="array" ref="L486">IF(I486="No-Retrofit",F486,IFERROR(VLOOKUP(I486,Vstack!$A$2:$L$1000,{10,4},0),""))</f>
        <v/>
      </c>
      <c r="M486" s="193"/>
      <c r="N486" s="121"/>
      <c r="O486" s="193" t="str">
        <f t="shared" si="30"/>
        <v/>
      </c>
      <c r="P486" s="195" t="str">
        <f t="shared" si="31"/>
        <v/>
      </c>
      <c r="Q486" s="230"/>
      <c r="R486" s="229"/>
      <c r="S486" s="231"/>
      <c r="T486" s="229"/>
      <c r="U486" s="196">
        <v>485</v>
      </c>
    </row>
    <row r="487" spans="1:21" ht="15" customHeight="1">
      <c r="A487" s="190" t="str">
        <f t="shared" si="28"/>
        <v>486- -W</v>
      </c>
      <c r="B487" s="123"/>
      <c r="C487" s="125"/>
      <c r="D487" s="190" t="str" cm="1">
        <f t="array" ref="D487">IFERROR(VLOOKUP(C487,Old_Model_Registry!$B$2:$K$500,{3,10,8,9},0),"")</f>
        <v/>
      </c>
      <c r="E487" s="190"/>
      <c r="F487" s="190"/>
      <c r="G487" s="191"/>
      <c r="H487" s="192">
        <f t="shared" si="29"/>
        <v>0</v>
      </c>
      <c r="I487" s="121"/>
      <c r="J487" s="193" t="str" cm="1">
        <f t="array" ref="J487">IF(I487="No-Retrofit",F487,IFERROR(VLOOKUP(I487,Vstack!$A$2:$L$1000,{8},0),""))</f>
        <v/>
      </c>
      <c r="K487" s="224" t="str" cm="1">
        <f t="array" ref="K487">IF(I487="No-Retrofit",F487,IFERROR(VLOOKUP(I487,Vstack!$A$2:$L$1000,{9},0)*N487,""))</f>
        <v/>
      </c>
      <c r="L487" s="193" t="str" cm="1">
        <f t="array" ref="L487">IF(I487="No-Retrofit",F487,IFERROR(VLOOKUP(I487,Vstack!$A$2:$L$1000,{10,4},0),""))</f>
        <v/>
      </c>
      <c r="M487" s="193"/>
      <c r="N487" s="121"/>
      <c r="O487" s="193" t="str">
        <f t="shared" si="30"/>
        <v/>
      </c>
      <c r="P487" s="195" t="str">
        <f t="shared" si="31"/>
        <v/>
      </c>
      <c r="Q487" s="230"/>
      <c r="R487" s="229"/>
      <c r="S487" s="231"/>
      <c r="T487" s="229"/>
      <c r="U487" s="196">
        <v>486</v>
      </c>
    </row>
    <row r="488" spans="1:21" ht="15" customHeight="1">
      <c r="A488" s="190" t="str">
        <f t="shared" si="28"/>
        <v>487- -W</v>
      </c>
      <c r="B488" s="123"/>
      <c r="C488" s="125"/>
      <c r="D488" s="190" t="str" cm="1">
        <f t="array" ref="D488">IFERROR(VLOOKUP(C488,Old_Model_Registry!$B$2:$K$500,{3,10,8,9},0),"")</f>
        <v/>
      </c>
      <c r="E488" s="190"/>
      <c r="F488" s="190"/>
      <c r="G488" s="191"/>
      <c r="H488" s="192">
        <f t="shared" si="29"/>
        <v>0</v>
      </c>
      <c r="I488" s="121"/>
      <c r="J488" s="193" t="str" cm="1">
        <f t="array" ref="J488">IF(I488="No-Retrofit",F488,IFERROR(VLOOKUP(I488,Vstack!$A$2:$L$1000,{8},0),""))</f>
        <v/>
      </c>
      <c r="K488" s="224" t="str" cm="1">
        <f t="array" ref="K488">IF(I488="No-Retrofit",F488,IFERROR(VLOOKUP(I488,Vstack!$A$2:$L$1000,{9},0)*N488,""))</f>
        <v/>
      </c>
      <c r="L488" s="193" t="str" cm="1">
        <f t="array" ref="L488">IF(I488="No-Retrofit",F488,IFERROR(VLOOKUP(I488,Vstack!$A$2:$L$1000,{10,4},0),""))</f>
        <v/>
      </c>
      <c r="M488" s="193"/>
      <c r="N488" s="121"/>
      <c r="O488" s="193" t="str">
        <f t="shared" si="30"/>
        <v/>
      </c>
      <c r="P488" s="195" t="str">
        <f t="shared" si="31"/>
        <v/>
      </c>
      <c r="Q488" s="230"/>
      <c r="R488" s="229"/>
      <c r="S488" s="231"/>
      <c r="T488" s="229"/>
      <c r="U488" s="196">
        <v>487</v>
      </c>
    </row>
    <row r="489" spans="1:21" ht="15" customHeight="1">
      <c r="A489" s="190" t="str">
        <f t="shared" si="28"/>
        <v>488- -W</v>
      </c>
      <c r="B489" s="123"/>
      <c r="C489" s="125"/>
      <c r="D489" s="190" t="str" cm="1">
        <f t="array" ref="D489">IFERROR(VLOOKUP(C489,Old_Model_Registry!$B$2:$K$500,{3,10,8,9},0),"")</f>
        <v/>
      </c>
      <c r="E489" s="190"/>
      <c r="F489" s="190"/>
      <c r="G489" s="191"/>
      <c r="H489" s="192">
        <f t="shared" si="29"/>
        <v>0</v>
      </c>
      <c r="I489" s="121"/>
      <c r="J489" s="193" t="str" cm="1">
        <f t="array" ref="J489">IF(I489="No-Retrofit",F489,IFERROR(VLOOKUP(I489,Vstack!$A$2:$L$1000,{8},0),""))</f>
        <v/>
      </c>
      <c r="K489" s="224" t="str" cm="1">
        <f t="array" ref="K489">IF(I489="No-Retrofit",F489,IFERROR(VLOOKUP(I489,Vstack!$A$2:$L$1000,{9},0)*N489,""))</f>
        <v/>
      </c>
      <c r="L489" s="193" t="str" cm="1">
        <f t="array" ref="L489">IF(I489="No-Retrofit",F489,IFERROR(VLOOKUP(I489,Vstack!$A$2:$L$1000,{10,4},0),""))</f>
        <v/>
      </c>
      <c r="M489" s="193"/>
      <c r="N489" s="121"/>
      <c r="O489" s="193" t="str">
        <f t="shared" si="30"/>
        <v/>
      </c>
      <c r="P489" s="195" t="str">
        <f t="shared" si="31"/>
        <v/>
      </c>
      <c r="Q489" s="230"/>
      <c r="R489" s="229"/>
      <c r="S489" s="231"/>
      <c r="T489" s="229"/>
      <c r="U489" s="196">
        <v>488</v>
      </c>
    </row>
    <row r="490" spans="1:21" ht="15" customHeight="1">
      <c r="A490" s="190" t="str">
        <f t="shared" si="28"/>
        <v>489- -W</v>
      </c>
      <c r="B490" s="123"/>
      <c r="C490" s="125"/>
      <c r="D490" s="190" t="str" cm="1">
        <f t="array" ref="D490">IFERROR(VLOOKUP(C490,Old_Model_Registry!$B$2:$K$500,{3,10,8,9},0),"")</f>
        <v/>
      </c>
      <c r="E490" s="190"/>
      <c r="F490" s="190"/>
      <c r="G490" s="191"/>
      <c r="H490" s="192">
        <f t="shared" si="29"/>
        <v>0</v>
      </c>
      <c r="I490" s="121"/>
      <c r="J490" s="193" t="str" cm="1">
        <f t="array" ref="J490">IF(I490="No-Retrofit",F490,IFERROR(VLOOKUP(I490,Vstack!$A$2:$L$1000,{8},0),""))</f>
        <v/>
      </c>
      <c r="K490" s="224" t="str" cm="1">
        <f t="array" ref="K490">IF(I490="No-Retrofit",F490,IFERROR(VLOOKUP(I490,Vstack!$A$2:$L$1000,{9},0)*N490,""))</f>
        <v/>
      </c>
      <c r="L490" s="193" t="str" cm="1">
        <f t="array" ref="L490">IF(I490="No-Retrofit",F490,IFERROR(VLOOKUP(I490,Vstack!$A$2:$L$1000,{10,4},0),""))</f>
        <v/>
      </c>
      <c r="M490" s="193"/>
      <c r="N490" s="121"/>
      <c r="O490" s="193" t="str">
        <f t="shared" si="30"/>
        <v/>
      </c>
      <c r="P490" s="195" t="str">
        <f t="shared" si="31"/>
        <v/>
      </c>
      <c r="Q490" s="230"/>
      <c r="R490" s="229"/>
      <c r="S490" s="231"/>
      <c r="T490" s="229"/>
      <c r="U490" s="196">
        <v>489</v>
      </c>
    </row>
    <row r="491" spans="1:21" ht="15" customHeight="1">
      <c r="A491" s="190" t="str">
        <f t="shared" si="28"/>
        <v>490- -W</v>
      </c>
      <c r="B491" s="123"/>
      <c r="C491" s="125"/>
      <c r="D491" s="190" t="str" cm="1">
        <f t="array" ref="D491">IFERROR(VLOOKUP(C491,Old_Model_Registry!$B$2:$K$500,{3,10,8,9},0),"")</f>
        <v/>
      </c>
      <c r="E491" s="190"/>
      <c r="F491" s="190"/>
      <c r="G491" s="191"/>
      <c r="H491" s="192">
        <f t="shared" si="29"/>
        <v>0</v>
      </c>
      <c r="I491" s="121"/>
      <c r="J491" s="193" t="str" cm="1">
        <f t="array" ref="J491">IF(I491="No-Retrofit",F491,IFERROR(VLOOKUP(I491,Vstack!$A$2:$L$1000,{8},0),""))</f>
        <v/>
      </c>
      <c r="K491" s="224" t="str" cm="1">
        <f t="array" ref="K491">IF(I491="No-Retrofit",F491,IFERROR(VLOOKUP(I491,Vstack!$A$2:$L$1000,{9},0)*N491,""))</f>
        <v/>
      </c>
      <c r="L491" s="193" t="str" cm="1">
        <f t="array" ref="L491">IF(I491="No-Retrofit",F491,IFERROR(VLOOKUP(I491,Vstack!$A$2:$L$1000,{10,4},0),""))</f>
        <v/>
      </c>
      <c r="M491" s="193"/>
      <c r="N491" s="121"/>
      <c r="O491" s="193" t="str">
        <f t="shared" si="30"/>
        <v/>
      </c>
      <c r="P491" s="195" t="str">
        <f t="shared" si="31"/>
        <v/>
      </c>
      <c r="Q491" s="230"/>
      <c r="R491" s="229"/>
      <c r="S491" s="231"/>
      <c r="T491" s="229"/>
      <c r="U491" s="196">
        <v>490</v>
      </c>
    </row>
    <row r="492" spans="1:21" ht="15" customHeight="1">
      <c r="A492" s="190" t="str">
        <f t="shared" si="28"/>
        <v>491- -W</v>
      </c>
      <c r="B492" s="123"/>
      <c r="C492" s="125"/>
      <c r="D492" s="190" t="str" cm="1">
        <f t="array" ref="D492">IFERROR(VLOOKUP(C492,Old_Model_Registry!$B$2:$K$500,{3,10,8,9},0),"")</f>
        <v/>
      </c>
      <c r="E492" s="190"/>
      <c r="F492" s="190"/>
      <c r="G492" s="191"/>
      <c r="H492" s="192">
        <f t="shared" si="29"/>
        <v>0</v>
      </c>
      <c r="I492" s="121"/>
      <c r="J492" s="193" t="str" cm="1">
        <f t="array" ref="J492">IF(I492="No-Retrofit",F492,IFERROR(VLOOKUP(I492,Vstack!$A$2:$L$1000,{8},0),""))</f>
        <v/>
      </c>
      <c r="K492" s="224" t="str" cm="1">
        <f t="array" ref="K492">IF(I492="No-Retrofit",F492,IFERROR(VLOOKUP(I492,Vstack!$A$2:$L$1000,{9},0)*N492,""))</f>
        <v/>
      </c>
      <c r="L492" s="193" t="str" cm="1">
        <f t="array" ref="L492">IF(I492="No-Retrofit",F492,IFERROR(VLOOKUP(I492,Vstack!$A$2:$L$1000,{10,4},0),""))</f>
        <v/>
      </c>
      <c r="M492" s="193"/>
      <c r="N492" s="121"/>
      <c r="O492" s="193" t="str">
        <f t="shared" si="30"/>
        <v/>
      </c>
      <c r="P492" s="195" t="str">
        <f t="shared" si="31"/>
        <v/>
      </c>
      <c r="Q492" s="230"/>
      <c r="R492" s="229"/>
      <c r="S492" s="231"/>
      <c r="T492" s="229"/>
      <c r="U492" s="196">
        <v>491</v>
      </c>
    </row>
    <row r="493" spans="1:21" ht="15" customHeight="1">
      <c r="A493" s="190" t="str">
        <f t="shared" si="28"/>
        <v>492- -W</v>
      </c>
      <c r="B493" s="123"/>
      <c r="C493" s="125"/>
      <c r="D493" s="190" t="str" cm="1">
        <f t="array" ref="D493">IFERROR(VLOOKUP(C493,Old_Model_Registry!$B$2:$K$500,{3,10,8,9},0),"")</f>
        <v/>
      </c>
      <c r="E493" s="190"/>
      <c r="F493" s="190"/>
      <c r="G493" s="191"/>
      <c r="H493" s="192">
        <f t="shared" si="29"/>
        <v>0</v>
      </c>
      <c r="I493" s="121"/>
      <c r="J493" s="193" t="str" cm="1">
        <f t="array" ref="J493">IF(I493="No-Retrofit",F493,IFERROR(VLOOKUP(I493,Vstack!$A$2:$L$1000,{8},0),""))</f>
        <v/>
      </c>
      <c r="K493" s="224" t="str" cm="1">
        <f t="array" ref="K493">IF(I493="No-Retrofit",F493,IFERROR(VLOOKUP(I493,Vstack!$A$2:$L$1000,{9},0)*N493,""))</f>
        <v/>
      </c>
      <c r="L493" s="193" t="str" cm="1">
        <f t="array" ref="L493">IF(I493="No-Retrofit",F493,IFERROR(VLOOKUP(I493,Vstack!$A$2:$L$1000,{10,4},0),""))</f>
        <v/>
      </c>
      <c r="M493" s="193"/>
      <c r="N493" s="121"/>
      <c r="O493" s="193" t="str">
        <f t="shared" si="30"/>
        <v/>
      </c>
      <c r="P493" s="195" t="str">
        <f t="shared" si="31"/>
        <v/>
      </c>
      <c r="Q493" s="230"/>
      <c r="R493" s="229"/>
      <c r="S493" s="231"/>
      <c r="T493" s="229"/>
      <c r="U493" s="196">
        <v>492</v>
      </c>
    </row>
    <row r="494" spans="1:21" ht="15" customHeight="1">
      <c r="A494" s="190" t="str">
        <f t="shared" si="28"/>
        <v>493- -W</v>
      </c>
      <c r="B494" s="123"/>
      <c r="C494" s="125"/>
      <c r="D494" s="190" t="str" cm="1">
        <f t="array" ref="D494">IFERROR(VLOOKUP(C494,Old_Model_Registry!$B$2:$K$500,{3,10,8,9},0),"")</f>
        <v/>
      </c>
      <c r="E494" s="190"/>
      <c r="F494" s="190"/>
      <c r="G494" s="191"/>
      <c r="H494" s="192">
        <f t="shared" si="29"/>
        <v>0</v>
      </c>
      <c r="I494" s="121"/>
      <c r="J494" s="193" t="str" cm="1">
        <f t="array" ref="J494">IF(I494="No-Retrofit",F494,IFERROR(VLOOKUP(I494,Vstack!$A$2:$L$1000,{8},0),""))</f>
        <v/>
      </c>
      <c r="K494" s="224" t="str" cm="1">
        <f t="array" ref="K494">IF(I494="No-Retrofit",F494,IFERROR(VLOOKUP(I494,Vstack!$A$2:$L$1000,{9},0)*N494,""))</f>
        <v/>
      </c>
      <c r="L494" s="193" t="str" cm="1">
        <f t="array" ref="L494">IF(I494="No-Retrofit",F494,IFERROR(VLOOKUP(I494,Vstack!$A$2:$L$1000,{10,4},0),""))</f>
        <v/>
      </c>
      <c r="M494" s="193"/>
      <c r="N494" s="121"/>
      <c r="O494" s="193" t="str">
        <f t="shared" si="30"/>
        <v/>
      </c>
      <c r="P494" s="195" t="str">
        <f t="shared" si="31"/>
        <v/>
      </c>
      <c r="Q494" s="230"/>
      <c r="R494" s="229"/>
      <c r="S494" s="231"/>
      <c r="T494" s="229"/>
      <c r="U494" s="196">
        <v>493</v>
      </c>
    </row>
    <row r="495" spans="1:21" ht="15" customHeight="1">
      <c r="A495" s="190" t="str">
        <f t="shared" si="28"/>
        <v>494- -W</v>
      </c>
      <c r="B495" s="123"/>
      <c r="C495" s="125"/>
      <c r="D495" s="190" t="str" cm="1">
        <f t="array" ref="D495">IFERROR(VLOOKUP(C495,Old_Model_Registry!$B$2:$K$500,{3,10,8,9},0),"")</f>
        <v/>
      </c>
      <c r="E495" s="190"/>
      <c r="F495" s="190"/>
      <c r="G495" s="191"/>
      <c r="H495" s="192">
        <f t="shared" si="29"/>
        <v>0</v>
      </c>
      <c r="I495" s="121"/>
      <c r="J495" s="193" t="str" cm="1">
        <f t="array" ref="J495">IF(I495="No-Retrofit",F495,IFERROR(VLOOKUP(I495,Vstack!$A$2:$L$1000,{8},0),""))</f>
        <v/>
      </c>
      <c r="K495" s="224" t="str" cm="1">
        <f t="array" ref="K495">IF(I495="No-Retrofit",F495,IFERROR(VLOOKUP(I495,Vstack!$A$2:$L$1000,{9},0)*N495,""))</f>
        <v/>
      </c>
      <c r="L495" s="193" t="str" cm="1">
        <f t="array" ref="L495">IF(I495="No-Retrofit",F495,IFERROR(VLOOKUP(I495,Vstack!$A$2:$L$1000,{10,4},0),""))</f>
        <v/>
      </c>
      <c r="M495" s="193"/>
      <c r="N495" s="121"/>
      <c r="O495" s="193" t="str">
        <f t="shared" si="30"/>
        <v/>
      </c>
      <c r="P495" s="195" t="str">
        <f t="shared" si="31"/>
        <v/>
      </c>
      <c r="Q495" s="230"/>
      <c r="R495" s="229"/>
      <c r="S495" s="231"/>
      <c r="T495" s="229"/>
      <c r="U495" s="196">
        <v>494</v>
      </c>
    </row>
    <row r="496" spans="1:21" ht="15" customHeight="1">
      <c r="A496" s="190" t="str">
        <f t="shared" si="28"/>
        <v>495- -W</v>
      </c>
      <c r="B496" s="123"/>
      <c r="C496" s="125"/>
      <c r="D496" s="190" t="str" cm="1">
        <f t="array" ref="D496">IFERROR(VLOOKUP(C496,Old_Model_Registry!$B$2:$K$500,{3,10,8,9},0),"")</f>
        <v/>
      </c>
      <c r="E496" s="190"/>
      <c r="F496" s="190"/>
      <c r="G496" s="191"/>
      <c r="H496" s="192">
        <f t="shared" si="29"/>
        <v>0</v>
      </c>
      <c r="I496" s="121"/>
      <c r="J496" s="193" t="str" cm="1">
        <f t="array" ref="J496">IF(I496="No-Retrofit",F496,IFERROR(VLOOKUP(I496,Vstack!$A$2:$L$1000,{8},0),""))</f>
        <v/>
      </c>
      <c r="K496" s="224" t="str" cm="1">
        <f t="array" ref="K496">IF(I496="No-Retrofit",F496,IFERROR(VLOOKUP(I496,Vstack!$A$2:$L$1000,{9},0)*N496,""))</f>
        <v/>
      </c>
      <c r="L496" s="193" t="str" cm="1">
        <f t="array" ref="L496">IF(I496="No-Retrofit",F496,IFERROR(VLOOKUP(I496,Vstack!$A$2:$L$1000,{10,4},0),""))</f>
        <v/>
      </c>
      <c r="M496" s="193"/>
      <c r="N496" s="121"/>
      <c r="O496" s="193" t="str">
        <f t="shared" si="30"/>
        <v/>
      </c>
      <c r="P496" s="195" t="str">
        <f t="shared" si="31"/>
        <v/>
      </c>
      <c r="Q496" s="230"/>
      <c r="R496" s="229"/>
      <c r="S496" s="231"/>
      <c r="T496" s="229"/>
      <c r="U496" s="196">
        <v>495</v>
      </c>
    </row>
    <row r="497" spans="1:21" ht="15" customHeight="1">
      <c r="A497" s="190" t="str">
        <f t="shared" si="28"/>
        <v>496- -W</v>
      </c>
      <c r="B497" s="123"/>
      <c r="C497" s="125"/>
      <c r="D497" s="190" t="str" cm="1">
        <f t="array" ref="D497">IFERROR(VLOOKUP(C497,Old_Model_Registry!$B$2:$K$500,{3,10,8,9},0),"")</f>
        <v/>
      </c>
      <c r="E497" s="190"/>
      <c r="F497" s="190"/>
      <c r="G497" s="191"/>
      <c r="H497" s="192">
        <f t="shared" si="29"/>
        <v>0</v>
      </c>
      <c r="I497" s="121"/>
      <c r="J497" s="193" t="str" cm="1">
        <f t="array" ref="J497">IF(I497="No-Retrofit",F497,IFERROR(VLOOKUP(I497,Vstack!$A$2:$L$1000,{8},0),""))</f>
        <v/>
      </c>
      <c r="K497" s="224" t="str" cm="1">
        <f t="array" ref="K497">IF(I497="No-Retrofit",F497,IFERROR(VLOOKUP(I497,Vstack!$A$2:$L$1000,{9},0)*N497,""))</f>
        <v/>
      </c>
      <c r="L497" s="193" t="str" cm="1">
        <f t="array" ref="L497">IF(I497="No-Retrofit",F497,IFERROR(VLOOKUP(I497,Vstack!$A$2:$L$1000,{10,4},0),""))</f>
        <v/>
      </c>
      <c r="M497" s="193"/>
      <c r="N497" s="121"/>
      <c r="O497" s="193" t="str">
        <f t="shared" si="30"/>
        <v/>
      </c>
      <c r="P497" s="195" t="str">
        <f t="shared" si="31"/>
        <v/>
      </c>
      <c r="Q497" s="230"/>
      <c r="R497" s="229"/>
      <c r="S497" s="231"/>
      <c r="T497" s="229"/>
      <c r="U497" s="196">
        <v>496</v>
      </c>
    </row>
    <row r="498" spans="1:21" ht="15" customHeight="1">
      <c r="A498" s="190" t="str">
        <f t="shared" si="28"/>
        <v>497- -W</v>
      </c>
      <c r="B498" s="123"/>
      <c r="C498" s="125"/>
      <c r="D498" s="190" t="str" cm="1">
        <f t="array" ref="D498">IFERROR(VLOOKUP(C498,Old_Model_Registry!$B$2:$K$500,{3,10,8,9},0),"")</f>
        <v/>
      </c>
      <c r="E498" s="190"/>
      <c r="F498" s="190"/>
      <c r="G498" s="191"/>
      <c r="H498" s="192">
        <f t="shared" si="29"/>
        <v>0</v>
      </c>
      <c r="I498" s="121"/>
      <c r="J498" s="193" t="str" cm="1">
        <f t="array" ref="J498">IF(I498="No-Retrofit",F498,IFERROR(VLOOKUP(I498,Vstack!$A$2:$L$1000,{8},0),""))</f>
        <v/>
      </c>
      <c r="K498" s="224" t="str" cm="1">
        <f t="array" ref="K498">IF(I498="No-Retrofit",F498,IFERROR(VLOOKUP(I498,Vstack!$A$2:$L$1000,{9},0)*N498,""))</f>
        <v/>
      </c>
      <c r="L498" s="193" t="str" cm="1">
        <f t="array" ref="L498">IF(I498="No-Retrofit",F498,IFERROR(VLOOKUP(I498,Vstack!$A$2:$L$1000,{10,4},0),""))</f>
        <v/>
      </c>
      <c r="M498" s="193"/>
      <c r="N498" s="121"/>
      <c r="O498" s="193" t="str">
        <f t="shared" si="30"/>
        <v/>
      </c>
      <c r="P498" s="195" t="str">
        <f t="shared" si="31"/>
        <v/>
      </c>
      <c r="Q498" s="230"/>
      <c r="R498" s="229"/>
      <c r="S498" s="231"/>
      <c r="T498" s="229"/>
      <c r="U498" s="196">
        <v>497</v>
      </c>
    </row>
    <row r="499" spans="1:21" ht="15" customHeight="1">
      <c r="A499" s="190" t="str">
        <f t="shared" si="28"/>
        <v>498- -W</v>
      </c>
      <c r="B499" s="123"/>
      <c r="C499" s="125"/>
      <c r="D499" s="190" t="str" cm="1">
        <f t="array" ref="D499">IFERROR(VLOOKUP(C499,Old_Model_Registry!$B$2:$K$500,{3,10,8,9},0),"")</f>
        <v/>
      </c>
      <c r="E499" s="190"/>
      <c r="F499" s="190"/>
      <c r="G499" s="191"/>
      <c r="H499" s="192">
        <f t="shared" si="29"/>
        <v>0</v>
      </c>
      <c r="I499" s="121"/>
      <c r="J499" s="193" t="str" cm="1">
        <f t="array" ref="J499">IF(I499="No-Retrofit",F499,IFERROR(VLOOKUP(I499,Vstack!$A$2:$L$1000,{8},0),""))</f>
        <v/>
      </c>
      <c r="K499" s="224" t="str" cm="1">
        <f t="array" ref="K499">IF(I499="No-Retrofit",F499,IFERROR(VLOOKUP(I499,Vstack!$A$2:$L$1000,{9},0)*N499,""))</f>
        <v/>
      </c>
      <c r="L499" s="193" t="str" cm="1">
        <f t="array" ref="L499">IF(I499="No-Retrofit",F499,IFERROR(VLOOKUP(I499,Vstack!$A$2:$L$1000,{10,4},0),""))</f>
        <v/>
      </c>
      <c r="M499" s="193"/>
      <c r="N499" s="121"/>
      <c r="O499" s="193" t="str">
        <f t="shared" si="30"/>
        <v/>
      </c>
      <c r="P499" s="195" t="str">
        <f t="shared" si="31"/>
        <v/>
      </c>
      <c r="Q499" s="230"/>
      <c r="R499" s="229"/>
      <c r="S499" s="231"/>
      <c r="T499" s="229"/>
      <c r="U499" s="196">
        <v>498</v>
      </c>
    </row>
    <row r="500" spans="1:21" ht="15" customHeight="1">
      <c r="A500" s="190" t="str">
        <f t="shared" si="28"/>
        <v>499- -W</v>
      </c>
      <c r="B500" s="123"/>
      <c r="C500" s="125"/>
      <c r="D500" s="190" t="str" cm="1">
        <f t="array" ref="D500">IFERROR(VLOOKUP(C500,Old_Model_Registry!$B$2:$K$500,{3,10,8,9},0),"")</f>
        <v/>
      </c>
      <c r="E500" s="190"/>
      <c r="F500" s="190"/>
      <c r="G500" s="191"/>
      <c r="H500" s="192">
        <f t="shared" si="29"/>
        <v>0</v>
      </c>
      <c r="I500" s="121"/>
      <c r="J500" s="193" t="str" cm="1">
        <f t="array" ref="J500">IF(I500="No-Retrofit",F500,IFERROR(VLOOKUP(I500,Vstack!$A$2:$L$1000,{8},0),""))</f>
        <v/>
      </c>
      <c r="K500" s="224" t="str" cm="1">
        <f t="array" ref="K500">IF(I500="No-Retrofit",F500,IFERROR(VLOOKUP(I500,Vstack!$A$2:$L$1000,{9},0)*N500,""))</f>
        <v/>
      </c>
      <c r="L500" s="193" t="str" cm="1">
        <f t="array" ref="L500">IF(I500="No-Retrofit",F500,IFERROR(VLOOKUP(I500,Vstack!$A$2:$L$1000,{10,4},0),""))</f>
        <v/>
      </c>
      <c r="M500" s="193"/>
      <c r="N500" s="121"/>
      <c r="O500" s="193" t="str">
        <f t="shared" si="30"/>
        <v/>
      </c>
      <c r="P500" s="195" t="str">
        <f t="shared" si="31"/>
        <v/>
      </c>
      <c r="Q500" s="230"/>
      <c r="R500" s="229"/>
      <c r="S500" s="231"/>
      <c r="T500" s="229"/>
      <c r="U500" s="196">
        <v>499</v>
      </c>
    </row>
    <row r="501" spans="1:21" ht="15" customHeight="1">
      <c r="A501" s="197" t="str">
        <f t="shared" si="28"/>
        <v>500- -W</v>
      </c>
      <c r="B501" s="124"/>
      <c r="C501" s="125"/>
      <c r="D501" s="197" t="str" cm="1">
        <f t="array" ref="D501">IFERROR(VLOOKUP(C501,Old_Model_Registry!$B$2:$K$500,{3,10,8,9},0),"")</f>
        <v/>
      </c>
      <c r="E501" s="197"/>
      <c r="F501" s="197"/>
      <c r="G501" s="198"/>
      <c r="H501" s="199">
        <f t="shared" si="29"/>
        <v>0</v>
      </c>
      <c r="I501" s="122"/>
      <c r="J501" s="223" t="str" cm="1">
        <f t="array" ref="J501">IF(I501="No-Retrofit",F501,IFERROR(VLOOKUP(I501,Vstack!$A$2:$L$1000,{8},0),""))</f>
        <v/>
      </c>
      <c r="K501" s="201" t="str" cm="1">
        <f t="array" ref="K501">IF(I501="No-Retrofit",F501,IFERROR(VLOOKUP(I501,Vstack!$A$2:$L$1000,{9},0)*N501,""))</f>
        <v/>
      </c>
      <c r="L501" s="200" t="str" cm="1">
        <f t="array" ref="L501">IF(I501="No-Retrofit",F501,IFERROR(VLOOKUP(I501,Vstack!$A$2:$L$1000,{10,4},0),""))</f>
        <v/>
      </c>
      <c r="M501" s="200"/>
      <c r="N501" s="121"/>
      <c r="O501" s="200" t="str">
        <f t="shared" si="30"/>
        <v/>
      </c>
      <c r="P501" s="202" t="str">
        <f t="shared" si="31"/>
        <v/>
      </c>
      <c r="Q501" s="230"/>
      <c r="R501" s="229"/>
      <c r="S501" s="231"/>
      <c r="T501" s="229"/>
      <c r="U501" s="196">
        <v>500</v>
      </c>
    </row>
    <row r="502" spans="1:21" s="4" customFormat="1" ht="15" customHeight="1"/>
    <row r="503" spans="1:21" s="4" customFormat="1" ht="15" customHeight="1"/>
  </sheetData>
  <sheetProtection algorithmName="SHA-512" hashValue="bl+17jqAByOs+9q4XnL8M6Vd0nLIvkKwiGm3LVsjuvegb58+HwINj3eiw8sh9g8qrjTx/QCndkZKLW29eoaCIA==" saltValue="DFnoXkgROIxccZsksRZj0A==" spinCount="100000" sheet="1" formatColumns="0" sort="0" autoFilter="0" pivotTables="0"/>
  <autoFilter ref="A1:U501" xr:uid="{184E5096-A076-4364-80AC-AD7082A8EF51}"/>
  <conditionalFormatting sqref="K2:K501">
    <cfRule type="cellIs" dxfId="15" priority="1" operator="equal">
      <formula>""</formula>
    </cfRule>
    <cfRule type="cellIs" dxfId="14" priority="2" operator="lessThan">
      <formula>G2*0.95</formula>
    </cfRule>
    <cfRule type="cellIs" dxfId="13" priority="3" operator="greaterThan">
      <formula>1.2*G2</formula>
    </cfRule>
  </conditionalFormatting>
  <dataValidations count="1">
    <dataValidation type="list" allowBlank="1" showInputMessage="1" showErrorMessage="1" sqref="C2:C501" xr:uid="{B59E376E-2924-4F98-85FB-229DFA8A25FC}">
      <formula1>INDIRECT(B2)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AB81450-7EDD-427D-9EA3-D80F19F13394}">
          <x14:formula1>
            <xm:f>Vstack!$A$2:$A$1000</xm:f>
          </x14:formula1>
          <xm:sqref>I2:I501</xm:sqref>
        </x14:dataValidation>
        <x14:dataValidation type="list" allowBlank="1" showInputMessage="1" showErrorMessage="1" xr:uid="{7AC3DAE5-CF91-433E-B3EB-2CB007E2E566}">
          <x14:formula1>
            <xm:f>Mnu!$E$20:$E$55</xm:f>
          </x14:formula1>
          <xm:sqref>B2:B501</xm:sqref>
        </x14:dataValidation>
      </x1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4="http://schemas.microsoft.com/office/excel/2006/main" ns1:Ignorable="x14ac xr xr2 xr3" ns2:uid="{864A6BC3-B624-4A83-BFCD-1E3288C69916}">
  <sheetPr codeName="Sheet2">
    <tabColor rgb="FF00B050"/>
  </sheetPr>
  <dimension ref="A1:X1001"/>
  <sheetViews>
    <sheetView topLeftCell="B1" zoomScale="95" zoomScaleNormal="95" workbookViewId="0">
      <pane ySplit="1" topLeftCell="A715" activePane="bottomLeft" state="frozen"/>
      <selection activeCell="B1" sqref="B1"/>
      <selection pane="bottomLeft" activeCell="E2" sqref="E2:E916"/>
    </sheetView>
  </sheetViews>
  <sheetFormatPr defaultColWidth="0" defaultRowHeight="15" zeroHeight="1"/>
  <cols>
    <col min="1" max="1" width="43.42578125" style="3" hidden="1" customWidth="1"/>
    <col min="2" max="2" width="11.42578125" style="21" customWidth="1"/>
    <col min="3" max="3" width="10.140625" style="21" bestFit="1" customWidth="1"/>
    <col min="4" max="4" width="32.42578125" style="21" bestFit="1" customWidth="1"/>
    <col min="5" max="5" width="34.5703125" style="21" customWidth="1"/>
    <col min="6" max="6" width="36.7109375" style="21" bestFit="1" customWidth="1"/>
    <col min="7" max="7" width="27.7109375" style="21" bestFit="1" customWidth="1"/>
    <col min="8" max="8" width="57.5703125" style="21" bestFit="1" customWidth="1"/>
    <col min="9" max="9" width="63.85546875" style="21" customWidth="1"/>
    <col min="10" max="10" width="29.140625" style="21" customWidth="1"/>
    <col min="11" max="14" width="17.5703125" style="21" customWidth="1"/>
    <col min="15" max="15" width="24.85546875" style="240" customWidth="1"/>
    <col min="16" max="16" width="17.5703125" style="240" customWidth="1"/>
    <col min="17" max="17" width="17.5703125" style="21" customWidth="1"/>
    <col min="18" max="18" width="11.42578125" style="4" customWidth="1"/>
    <col min="19" max="24" width="0" hidden="1" customWidth="1"/>
    <col min="25" max="16384" width="9.140625" hidden="1"/>
  </cols>
  <sheetData>
    <row r="1" spans="1:18" s="25" customFormat="1" ht="71.45" customHeight="1">
      <c r="A1" s="19" t="s">
        <v>34</v>
      </c>
      <c r="B1" s="26" t="s">
        <v>8</v>
      </c>
      <c r="C1" s="26" t="s">
        <v>16</v>
      </c>
      <c r="D1" s="26" t="s">
        <v>18</v>
      </c>
      <c r="E1" s="26" t="s">
        <v>17</v>
      </c>
      <c r="F1" s="26" t="s">
        <v>47</v>
      </c>
      <c r="G1" s="35" t="s">
        <v>48</v>
      </c>
      <c r="H1" s="26" t="s">
        <v>5</v>
      </c>
      <c r="I1" s="26" t="s">
        <v>12</v>
      </c>
      <c r="J1" s="26" t="s">
        <v>19</v>
      </c>
      <c r="K1" s="26" t="s">
        <v>15</v>
      </c>
      <c r="L1" s="26" t="s">
        <v>14</v>
      </c>
      <c r="M1" s="26" t="s">
        <v>9</v>
      </c>
      <c r="N1" s="27" t="s">
        <v>10</v>
      </c>
      <c r="O1" s="27" t="s">
        <v>7</v>
      </c>
      <c r="P1" s="26" t="s">
        <v>11</v>
      </c>
      <c r="Q1" s="26" t="s">
        <v>13</v>
      </c>
      <c r="R1" s="24"/>
    </row>
  </sheetData>
  <sheetProtection algorithmName="SHA-512" hashValue="7S6PMcSqK+tJkJE4nmYDsy/+akSIQ+rXkDhL2uGGU+qmsNphtCoPw0SbVyyzRTkhREriyfVzFRsN15FNxtR3Xg==" saltValue="+yod+YoH/KqW+Kr1mSYGQw==" spinCount="100000" sheet="1" formatColumns="0" sort="0" autoFilter="0" pivotTables="0"/>
  <autoFilter ref="A1:Q1001" ns2:uid="{864A6BC3-B624-4A83-BFCD-1E3288C69916}"/>
  <phoneticPr fontId="6" type="noConversion"/>
  <pageMargins left="0.7" right="0.7" top="0.75" bottom="0.75" header="0.3" footer="0.3"/>
  <extLst>
    <ext uri="{CCE6A557-97BC-4b89-ADB6-D9C93CAAB3DF}">
      <ns3:dataValidations count="1">
        <ns3:dataValidation type="list" allowBlank="1" showInputMessage="1" showErrorMessage="1" ns2:uid="{53AB6BE8-4FDF-48DF-B35D-356B3C968CF5}">
          <ns3:formula1>
            <ns4:f>Mnu!$G$12:$G$60</ns4:f>
          </ns3:formula1>
          <ns4:sqref>K2:L1001</ns4:sqref>
        </ns3:dataValidation>
      </ns3:dataValidations>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BA02159B-B265-433A-8AFA-569FFE3FF9E6}">
  <sheetPr codeName="Sheet4">
    <tabColor rgb="FF00B050"/>
  </sheetPr>
  <dimension ref="A1:JB5012"/>
  <sheetViews>
    <sheetView topLeftCell="D1" zoomScale="85" zoomScaleNormal="85" workbookViewId="0">
      <selection activeCell="I22" sqref="I22"/>
    </sheetView>
  </sheetViews>
  <sheetFormatPr defaultColWidth="0" defaultRowHeight="12.75" zeroHeight="1"/>
  <cols>
    <col min="1" max="1" width="9.85546875" style="43" bestFit="1" customWidth="1"/>
    <col min="2" max="2" width="25.85546875" style="43" customWidth="1"/>
    <col min="3" max="3" width="69" style="44" bestFit="1" customWidth="1"/>
    <col min="4" max="4" width="34.85546875" style="43" customWidth="1"/>
    <col min="5" max="5" width="15.140625" style="43" customWidth="1"/>
    <col min="6" max="6" width="28.85546875" style="43" customWidth="1"/>
    <col min="7" max="7" width="18.5703125" style="45" customWidth="1"/>
    <col min="8" max="8" width="42.28515625" style="45" bestFit="1" customWidth="1"/>
    <col min="9" max="9" width="18.5703125" style="45" customWidth="1"/>
    <col min="10" max="10" width="59.140625" style="44" customWidth="1"/>
    <col min="11" max="11" width="20.42578125" style="45" customWidth="1"/>
    <col min="12" max="12" width="25.85546875" style="45" customWidth="1"/>
    <col min="13" max="13" width="26.85546875" style="44" customWidth="1"/>
    <col min="14" max="14" width="22.85546875" style="44" customWidth="1"/>
    <col min="15" max="15" width="34.85546875" style="44" customWidth="1"/>
    <col min="16" max="16" width="23.85546875" style="44" customWidth="1"/>
    <col min="17" max="17" width="22.140625" style="44" customWidth="1"/>
    <col min="18" max="18" width="47.85546875" style="45" customWidth="1"/>
    <col min="19" max="19" width="16.140625" style="46" customWidth="1"/>
    <col min="20" max="20" width="44.5703125" style="45" customWidth="1"/>
    <col min="21" max="21" width="17.140625" style="46" customWidth="1"/>
    <col min="22" max="22" width="14" style="46" customWidth="1"/>
    <col min="23" max="23" width="14.140625" style="46" customWidth="1"/>
    <col min="24" max="24" width="16.85546875" style="45" customWidth="1"/>
    <col min="25" max="25" width="23.140625" style="44" customWidth="1"/>
    <col min="26" max="26" width="20.42578125" style="44" bestFit="1" customWidth="1"/>
    <col min="27" max="27" width="27.5703125" style="45" customWidth="1"/>
    <col min="28" max="28" width="25.140625" style="45" customWidth="1"/>
    <col min="29" max="29" width="22.140625" style="102" customWidth="1"/>
    <col min="30" max="30" width="20.42578125" style="45" customWidth="1"/>
    <col min="31" max="31" width="17.140625" style="45" customWidth="1"/>
    <col min="32" max="32" width="24" style="45" customWidth="1"/>
    <col min="33" max="33" width="18.5703125" style="45" customWidth="1"/>
    <col min="34" max="34" width="21.140625" style="45" hidden="1" customWidth="1"/>
    <col min="35" max="262" width="0" style="102" hidden="1" customWidth="1"/>
    <col min="263" max="16384" width="9.140625" style="102" hidden="1"/>
  </cols>
  <sheetData>
    <row r="1" spans="1:34" ht="31.5">
      <c r="A1" s="117"/>
      <c r="B1" s="117"/>
      <c r="C1" s="114"/>
      <c r="D1" s="117"/>
      <c r="E1" s="117"/>
      <c r="F1" s="117"/>
      <c r="G1" s="114"/>
      <c r="H1" s="114"/>
      <c r="I1" s="114"/>
      <c r="J1" s="238" t="s">
        <v>60</v>
      </c>
      <c r="K1" s="238" t="s">
        <v>61</v>
      </c>
      <c r="L1" s="238" t="s">
        <v>914</v>
      </c>
      <c r="M1" s="238" t="s">
        <v>915</v>
      </c>
      <c r="N1" s="238" t="s">
        <v>893</v>
      </c>
      <c r="O1" s="238" t="s">
        <v>894</v>
      </c>
      <c r="P1" s="102"/>
      <c r="Q1" s="102"/>
      <c r="R1" s="113"/>
      <c r="S1" s="102"/>
      <c r="T1" s="114"/>
      <c r="U1" s="102"/>
      <c r="V1" s="102"/>
      <c r="W1" s="102"/>
      <c r="X1" s="102"/>
      <c r="Y1" s="102"/>
      <c r="Z1" s="102"/>
      <c r="AA1" s="102"/>
      <c r="AB1" s="102"/>
      <c r="AD1" s="102"/>
      <c r="AE1" s="102"/>
      <c r="AF1" s="102"/>
      <c r="AG1" s="102"/>
      <c r="AH1" s="102"/>
    </row>
    <row r="2" spans="1:34" ht="24" customHeight="1">
      <c r="A2" s="117"/>
      <c r="B2" s="117"/>
      <c r="C2" s="114"/>
      <c r="D2" s="117"/>
      <c r="E2" s="117"/>
      <c r="F2" s="117"/>
      <c r="G2" s="114"/>
      <c r="H2" s="114"/>
      <c r="I2" s="114"/>
      <c r="J2" s="233" t="s">
        <v>62</v>
      </c>
      <c r="K2" s="234">
        <f>SUMIFS($V$12:$V$5011,$R$12:$R$5011,"&lt;&gt;No-Retrofit",$K$12:$K$5011,"Conv")</f>
      </c>
      <c r="L2" s="235">
        <f>SUMIFS($Q$12:$Q$5011,$R$12:$R$5011,"&lt;&gt;No-Retrofit",$K$12:$K$5011,"Conv")</f>
      </c>
      <c r="M2" s="254">
        <f>IFERROR((L5-N5),"")</f>
      </c>
      <c r="N2" s="236">
        <f>SUMIF($K$12:$K$5011,"Conv",$Z$12:$Z$5011)</f>
      </c>
      <c r="O2" s="237">
        <f>IFERROR(N2/L2," ")</f>
      </c>
      <c r="P2" s="102"/>
      <c r="Q2" s="102"/>
      <c r="R2" s="113"/>
      <c r="S2" s="102"/>
      <c r="T2" s="114"/>
      <c r="U2" s="102"/>
      <c r="V2" s="102"/>
      <c r="W2" s="102"/>
      <c r="X2" s="102"/>
      <c r="Y2" s="102"/>
      <c r="Z2" s="102"/>
      <c r="AA2" s="102"/>
      <c r="AB2" s="102"/>
      <c r="AD2" s="102"/>
      <c r="AE2" s="102"/>
      <c r="AF2" s="102"/>
      <c r="AG2" s="102"/>
      <c r="AH2" s="102"/>
    </row>
    <row r="3" spans="1:34" ht="15.75">
      <c r="A3" s="117"/>
      <c r="B3" s="117"/>
      <c r="C3" s="114"/>
      <c r="D3" s="117"/>
      <c r="E3" s="117"/>
      <c r="F3" s="117"/>
      <c r="G3" s="114"/>
      <c r="H3" s="114"/>
      <c r="I3" s="114"/>
      <c r="J3" s="233" t="s">
        <v>63</v>
      </c>
      <c r="K3" s="234">
        <f>SUMIFS($V$12:$V$5011,$K$12:$K$5011,"LED",$R$12:$R$5011,"&lt;&gt;No-Retrofit")</f>
      </c>
      <c r="L3" s="235">
        <f>SUMIFS($Q$12:$Q$5011,$K$12:$K$5011,"LED",$R$12:$R$5011,"&lt;&gt;No-Retrofit")</f>
      </c>
      <c r="M3" s="255"/>
      <c r="N3" s="236">
        <f>SUMIF($K$12:$K$5011,"LED",$Z$12:$Z$5011)</f>
      </c>
      <c r="O3" s="237">
        <f t="shared" ref="O3:O4" si="0">IFERROR(N3/L3," ")</f>
      </c>
      <c r="P3" s="102"/>
      <c r="Q3" s="102"/>
      <c r="R3" s="113"/>
      <c r="S3" s="102"/>
      <c r="T3" s="114"/>
      <c r="U3" s="102"/>
      <c r="V3" s="102"/>
      <c r="W3" s="102"/>
      <c r="X3" s="102"/>
      <c r="Y3" s="102"/>
      <c r="Z3" s="102"/>
      <c r="AA3" s="102"/>
      <c r="AB3" s="102"/>
      <c r="AD3" s="102"/>
      <c r="AE3" s="102"/>
      <c r="AF3" s="102"/>
      <c r="AG3" s="102"/>
      <c r="AH3" s="102"/>
    </row>
    <row r="4" spans="1:34" ht="15.75">
      <c r="A4" s="117"/>
      <c r="B4" s="117"/>
      <c r="C4" s="114"/>
      <c r="D4" s="117"/>
      <c r="E4" s="117"/>
      <c r="F4" s="117"/>
      <c r="G4" s="114"/>
      <c r="H4" s="114"/>
      <c r="I4" s="114"/>
      <c r="J4" s="233" t="s">
        <v>64</v>
      </c>
      <c r="K4" s="234">
        <f>+AC10</f>
      </c>
      <c r="L4" s="235">
        <f>AD10</f>
      </c>
      <c r="M4" s="255"/>
      <c r="N4" s="236">
        <f>+AE10</f>
      </c>
      <c r="O4" s="237">
        <f t="shared" si="0"/>
      </c>
      <c r="P4" s="102"/>
      <c r="Q4" s="115"/>
      <c r="R4" s="113"/>
      <c r="S4" s="102"/>
      <c r="T4" s="114"/>
      <c r="U4" s="102"/>
      <c r="V4" s="102"/>
      <c r="W4" s="102"/>
      <c r="X4" s="102"/>
      <c r="Y4" s="102"/>
      <c r="Z4" s="102"/>
      <c r="AA4" s="102"/>
      <c r="AB4" s="102"/>
      <c r="AD4" s="102"/>
      <c r="AE4" s="102"/>
      <c r="AF4" s="102"/>
      <c r="AG4" s="102"/>
      <c r="AH4" s="102"/>
    </row>
    <row r="5" spans="1:34" ht="15.75">
      <c r="A5" s="117"/>
      <c r="B5" s="117"/>
      <c r="C5" s="114"/>
      <c r="D5" s="117"/>
      <c r="E5" s="117"/>
      <c r="F5" s="117"/>
      <c r="G5" s="114"/>
      <c r="H5" s="114"/>
      <c r="I5" s="114"/>
      <c r="J5" s="47" t="s">
        <v>37</v>
      </c>
      <c r="K5" s="49">
        <f>SUM(K2:K3)</f>
      </c>
      <c r="L5" s="182">
        <f>SUM(L2:L3)</f>
      </c>
      <c r="M5" s="256"/>
      <c r="N5" s="160">
        <f>+IFERROR(SUM(N2:N4),"")</f>
      </c>
      <c r="O5" s="48">
        <f t="shared" ref="O5" si="1">N5/L5</f>
      </c>
      <c r="P5" s="102"/>
      <c r="Q5" s="102"/>
      <c r="R5" s="113"/>
      <c r="S5" s="102"/>
      <c r="T5" s="114"/>
      <c r="U5" s="102"/>
      <c r="V5" s="102"/>
      <c r="W5" s="102"/>
      <c r="X5" s="102"/>
      <c r="Y5" s="102"/>
      <c r="Z5" s="102"/>
      <c r="AA5" s="102"/>
      <c r="AB5" s="102"/>
      <c r="AD5" s="102"/>
      <c r="AE5" s="102"/>
      <c r="AF5" s="102"/>
      <c r="AG5" s="102"/>
      <c r="AH5" s="102"/>
    </row>
    <row r="6" spans="1:34" ht="15">
      <c r="A6" s="117"/>
      <c r="B6" s="117"/>
      <c r="C6" s="102"/>
      <c r="D6" s="117"/>
      <c r="E6" s="117"/>
      <c r="F6" s="117"/>
      <c r="G6" s="114"/>
      <c r="H6" s="114"/>
      <c r="I6" s="114"/>
      <c r="J6" s="114"/>
      <c r="K6" s="114"/>
      <c r="L6" s="118"/>
      <c r="M6" s="114"/>
      <c r="N6" s="102"/>
      <c r="O6" s="102"/>
      <c r="P6" s="113"/>
      <c r="Q6" s="102"/>
      <c r="R6" s="102"/>
      <c r="S6" s="114"/>
      <c r="T6" s="102"/>
      <c r="U6" s="102"/>
      <c r="V6" s="102"/>
      <c r="W6" s="114"/>
      <c r="X6" s="102"/>
      <c r="Y6" s="102"/>
      <c r="Z6" s="102"/>
      <c r="AA6" s="102"/>
      <c r="AB6" s="102"/>
      <c r="AD6" s="102"/>
      <c r="AE6" s="102"/>
      <c r="AF6" s="102"/>
      <c r="AG6" s="102"/>
      <c r="AH6" s="102"/>
    </row>
    <row r="7" spans="1:34" hidden="1">
      <c r="A7" s="117"/>
      <c r="B7" s="117"/>
      <c r="C7" s="114"/>
      <c r="D7" s="117"/>
      <c r="E7" s="117"/>
      <c r="F7" s="117"/>
      <c r="G7" s="114"/>
      <c r="H7" s="114"/>
      <c r="I7" s="114"/>
      <c r="J7" s="114"/>
      <c r="K7" s="114"/>
      <c r="L7" s="114"/>
      <c r="M7" s="114"/>
      <c r="N7" s="102"/>
      <c r="O7" s="102"/>
      <c r="P7" s="113"/>
      <c r="Q7" s="102"/>
      <c r="R7" s="102"/>
      <c r="S7" s="114"/>
      <c r="T7" s="102"/>
      <c r="U7" s="102"/>
      <c r="V7" s="102"/>
      <c r="W7" s="114"/>
      <c r="X7" s="102"/>
      <c r="Y7" s="102"/>
      <c r="Z7" s="102"/>
      <c r="AA7" s="102"/>
      <c r="AB7" s="102"/>
      <c r="AD7" s="102"/>
      <c r="AE7" s="102"/>
      <c r="AF7" s="102"/>
      <c r="AG7" s="102"/>
      <c r="AH7" s="102"/>
    </row>
    <row r="8" spans="1:34" hidden="1">
      <c r="A8" s="117"/>
      <c r="B8" s="117"/>
      <c r="C8" s="102"/>
      <c r="D8" s="117"/>
      <c r="E8" s="117"/>
      <c r="F8" s="117"/>
      <c r="G8" s="114"/>
      <c r="H8" s="114"/>
      <c r="I8" s="114"/>
      <c r="J8" s="114"/>
      <c r="K8" s="114"/>
      <c r="L8" s="114"/>
      <c r="M8" s="114"/>
      <c r="N8" s="102"/>
      <c r="O8" s="102"/>
      <c r="P8" s="113"/>
      <c r="Q8" s="102"/>
      <c r="R8" s="102"/>
      <c r="S8" s="114"/>
      <c r="T8" s="102"/>
      <c r="U8" s="102"/>
      <c r="V8" s="102"/>
      <c r="W8" s="114"/>
      <c r="X8" s="102"/>
      <c r="Y8" s="102"/>
      <c r="Z8" s="102"/>
      <c r="AA8" s="102"/>
      <c r="AB8" s="102"/>
      <c r="AD8" s="102"/>
      <c r="AE8" s="102"/>
      <c r="AF8" s="102"/>
      <c r="AG8" s="102"/>
      <c r="AH8" s="102"/>
    </row>
    <row r="9" spans="1:34">
      <c r="A9" s="117"/>
      <c r="B9" s="117"/>
      <c r="C9" s="102"/>
      <c r="D9" s="117"/>
      <c r="E9" s="117"/>
      <c r="F9" s="117"/>
      <c r="G9" s="114"/>
      <c r="H9" s="114"/>
      <c r="I9" s="114"/>
      <c r="J9" s="114"/>
      <c r="K9" s="114"/>
      <c r="L9" s="114"/>
      <c r="M9" s="114"/>
      <c r="N9" s="102"/>
      <c r="O9" s="102"/>
      <c r="P9" s="113"/>
      <c r="Q9" s="102"/>
      <c r="R9" s="102"/>
      <c r="S9" s="114"/>
      <c r="T9" s="102"/>
      <c r="U9" s="102"/>
      <c r="V9" s="102"/>
      <c r="W9" s="114"/>
      <c r="X9" s="102"/>
      <c r="Y9" s="102"/>
      <c r="Z9" s="102"/>
      <c r="AA9" s="102"/>
      <c r="AB9" s="102"/>
      <c r="AD9" s="102"/>
      <c r="AE9" s="102"/>
      <c r="AF9" s="102"/>
      <c r="AG9" s="102"/>
      <c r="AH9" s="102"/>
    </row>
    <row r="10" spans="1:34" ht="15.75">
      <c r="A10" s="104" t="s">
        <v>65</v>
      </c>
      <c r="B10" s="104"/>
      <c r="C10" s="104"/>
      <c r="D10" s="104"/>
      <c r="E10" s="104"/>
      <c r="F10" s="104"/>
      <c r="G10" s="104"/>
      <c r="H10" s="104"/>
      <c r="I10" s="106">
        <f>SUMIF($R$12:$R$5011,"&lt;&gt;No-Retrofit",$I$12:$I$5011)</f>
      </c>
      <c r="J10" s="105"/>
      <c r="K10" s="105"/>
      <c r="L10" s="105"/>
      <c r="M10" s="105"/>
      <c r="N10" s="105"/>
      <c r="O10" s="106">
        <f>SUMIF($R$12:$R$5011,"&lt;&gt;No-Retrofit",$O$12:$O$5011)</f>
      </c>
      <c r="P10" s="106">
        <f>SUMIF($R$12:$R$5011,"&lt;&gt;No-Retrofit",$P$12:$P$5011)</f>
      </c>
      <c r="Q10" s="105">
        <f>SUMIF($R$12:$R$5011,"&lt;&gt;No-Retrofit",$Q$12:$Q$5011)</f>
      </c>
      <c r="R10" s="104"/>
      <c r="S10" s="105"/>
      <c r="T10" s="104"/>
      <c r="U10" s="104"/>
      <c r="V10" s="105">
        <f>SUMIF($R$12:$R$5011,"&lt;&gt;No-Retrofit",$V$12:$V$5011)</f>
      </c>
      <c r="W10" s="105"/>
      <c r="X10" s="106">
        <f>SUM(Light_Savings!$X$12:$X$5011)</f>
      </c>
      <c r="Y10" s="105">
        <f>SUMIF($R$12:$R$5011,"&lt;&gt;No-Retrofit",$Y$12:$Y$5011)</f>
      </c>
      <c r="Z10" s="105">
        <f>SUM(Light_Savings!$Z$12:$Z$5011)</f>
      </c>
      <c r="AA10" s="102"/>
      <c r="AB10" s="105"/>
      <c r="AC10" s="105">
        <f>+SUM(Light_Savings!$AC$12:$AC$5011)</f>
      </c>
      <c r="AD10" s="105">
        <f>SUM(Light_Savings!$AD$12:$AD$5011)</f>
      </c>
      <c r="AE10" s="105">
        <f>+IFERROR(SUM(Light_Savings!$AE$12:$AE$5011),"")</f>
      </c>
      <c r="AF10" s="105"/>
      <c r="AG10" s="102"/>
      <c r="AH10" s="102"/>
    </row>
    <row r="11" spans="1:34" s="116" customFormat="1" ht="54" customHeight="1">
      <c r="A11" s="107" t="s">
        <v>0</v>
      </c>
      <c r="B11" s="108" t="s">
        <v>35</v>
      </c>
      <c r="C11" s="108" t="s">
        <v>6</v>
      </c>
      <c r="D11" s="108" t="s">
        <v>49</v>
      </c>
      <c r="E11" s="108" t="s">
        <v>66</v>
      </c>
      <c r="F11" s="108" t="s">
        <v>7</v>
      </c>
      <c r="G11" s="107" t="s">
        <v>72</v>
      </c>
      <c r="H11" s="107" t="s">
        <v>863</v>
      </c>
      <c r="I11" s="107" t="s">
        <v>860</v>
      </c>
      <c r="J11" s="107" t="s">
        <v>917</v>
      </c>
      <c r="K11" s="107" t="s">
        <v>67</v>
      </c>
      <c r="L11" s="107" t="s">
        <v>69</v>
      </c>
      <c r="M11" s="107" t="s">
        <v>68</v>
      </c>
      <c r="N11" s="107" t="s">
        <v>857</v>
      </c>
      <c r="O11" s="107" t="s">
        <v>70</v>
      </c>
      <c r="P11" s="107" t="s">
        <v>71</v>
      </c>
      <c r="Q11" s="107" t="s">
        <v>918</v>
      </c>
      <c r="R11" s="109" t="s">
        <v>916</v>
      </c>
      <c r="S11" s="109" t="s">
        <v>73</v>
      </c>
      <c r="T11" s="109" t="s">
        <v>853</v>
      </c>
      <c r="U11" s="109" t="s">
        <v>74</v>
      </c>
      <c r="V11" s="109" t="s">
        <v>70</v>
      </c>
      <c r="W11" s="109" t="s">
        <v>75</v>
      </c>
      <c r="X11" s="109" t="s">
        <v>76</v>
      </c>
      <c r="Y11" s="109" t="s">
        <v>919</v>
      </c>
      <c r="Z11" s="109" t="s">
        <v>893</v>
      </c>
      <c r="AA11" s="101"/>
      <c r="AB11" s="109" t="s">
        <v>77</v>
      </c>
      <c r="AC11" s="109" t="s">
        <v>78</v>
      </c>
      <c r="AD11" s="109" t="s">
        <v>897</v>
      </c>
      <c r="AE11" s="109" t="s">
        <v>898</v>
      </c>
      <c r="AF11" s="109" t="s">
        <v>79</v>
      </c>
    </row>
  </sheetData>
  <sheetProtection algorithmName="SHA-512" hashValue="2OSLvwtW/LXzZaWZh7Nhl7ue+Q4CWRiDEeA8kHN+9in+ztdNxXZkpEwQ9e3BF5YYxD2HzdSvGSVGAV9XQBBrFw==" saltValue="ui+rkeHjKAMLDkBUGaNAvg==" spinCount="100000" sheet="1" objects="1" scenarios="1" formatColumns="0" sort="0" autoFilter="0" pivotTables="0"/>
  <autoFilter ref="A11:AF5011" ns2:uid="{BA02159B-B265-433A-8AFA-569FFE3FF9E6}"/>
  <mergeCells count="1">
    <mergeCell ref="M2:M5"/>
  </mergeCells>
  <phoneticPr fontId="6" type="noConversion"/>
  <dataValidations count="1">
    <dataValidation type="list" allowBlank="1" showInputMessage="1" showErrorMessage="1" sqref="AF12:AF5011 AB12:AB5011" ns2:uid="{66DE732F-9282-4957-9195-3553FE13183E}">
      <formula1>"Yes, No"</formula1>
    </dataValidation>
  </dataValidations>
  <pageMargins left="0.7" right="0.7" top="0.75" bottom="0.75" header="0.3" footer="0.3"/>
  <pageSetup orientation="portrait" ns3:id="rId1"/>
  <extLst>
    <ext uri="{CCE6A557-97BC-4b89-ADB6-D9C93CAAB3DF}">
      <ns4:dataValidations count="3">
        <ns4:dataValidation type="list" allowBlank="1" showInputMessage="1" showErrorMessage="1" ns2:uid="{A7AA0577-B671-4575-B0E0-EC494839A902}">
          <ns4:formula1>
            <ns5:f>DataCheck!$B$12:$B$1000</ns5:f>
          </ns4:formula1>
          <ns5:sqref>B12:B5011</ns5:sqref>
        </ns4:dataValidation>
        <ns4:dataValidation type="list" allowBlank="1" showInputMessage="1" showErrorMessage="1" ns2:uid="{70C91682-FC10-4F7E-BB37-259182948704}">
          <ns4:formula1>
            <ns5:f>Light_Selection!$A$2:$A$501</ns5:f>
          </ns4:formula1>
          <ns5:sqref>H12:H5011</ns5:sqref>
        </ns4:dataValidation>
        <ns4:dataValidation type="list" allowBlank="1" showInputMessage="1" showErrorMessage="1" ns2:uid="{3EF3F181-4DF3-4C58-955B-E6F795AB7A74}">
          <ns4:formula1>
            <ns5:f>DataCheck!C12:JK12</ns5:f>
          </ns4:formula1>
          <ns5:sqref>C12:C5011</ns5:sqref>
        </ns4:dataValidation>
      </ns4:dataValidations>
    </ext>
  </extLst>
</worksheet>
</file>

<file path=xl/worksheets/sheet6.xml><?xml version="1.0" encoding="utf-8"?>
<worksheet xmlns="http://schemas.openxmlformats.org/spreadsheetml/2006/main" xmlns:ns1="http://schemas.openxmlformats.org/markup-compatibility/2006" xmlns:ns2="http://schemas.microsoft.com/office/spreadsheetml/2014/revision" ns1:Ignorable="x14ac xr xr2 xr3" ns2:uid="{1D3C902C-56BC-4648-88B1-BA2CCBAA2768}">
  <sheetPr codeName="Sheet5">
    <tabColor rgb="FF002060"/>
  </sheetPr>
  <dimension ref="A1:R269"/>
  <sheetViews>
    <sheetView topLeftCell="B19" zoomScaleNormal="100" workbookViewId="0">
      <selection activeCell="F35" sqref="F35:F36"/>
    </sheetView>
  </sheetViews>
  <sheetFormatPr defaultColWidth="0" defaultRowHeight="15" zeroHeight="1"/>
  <cols>
    <col min="1" max="1" width="7.5703125" style="4" customWidth="1"/>
    <col min="2" max="2" width="9.140625" customWidth="1"/>
    <col min="3" max="3" width="60.85546875" customWidth="1"/>
    <col min="4" max="4" width="48.85546875" customWidth="1"/>
    <col min="5" max="5" width="12.5703125" customWidth="1"/>
    <col min="6" max="6" width="16.42578125" customWidth="1"/>
    <col min="7" max="12" width="20.140625" customWidth="1"/>
    <col min="13" max="13" width="19.5703125" style="4" customWidth="1"/>
    <col min="14" max="14" width="9.140625" style="4" customWidth="1"/>
    <col min="15" max="15" width="43.42578125" hidden="1" customWidth="1"/>
    <col min="16" max="18" width="13.140625" hidden="1" customWidth="1"/>
    <col min="19" max="16384" width="9.140625" hidden="1"/>
  </cols>
  <sheetData>
    <row r="1" spans="2:13" s="4" customFormat="1" ht="6.75" customHeight="1"/>
  </sheetData>
  <sheetProtection algorithmName="SHA-512" hashValue="5JQlOJTHYDO0sWactcHHdOAovCvOp9xsCHDThV5/6cEshMWjmRGkFMjF5pvne76aFJL3jSSP6Sasy9KdnhTkrA==" saltValue="Lija5AbhHtOcoPEyXlp6wQ==" spinCount="100000" sheet="1" objects="1" scenarios="1" sort="0" autoFilter="0"/>
  <autoFilter ref="B4:M155" ns2:uid="{1D3C902C-56BC-4648-88B1-BA2CCBAA2768}"/>
  <mergeCells count="2">
    <mergeCell ref="B155:D155"/>
    <mergeCell ref="D2:J2"/>
  </mergeCells>
  <conditionalFormatting sqref="C5:D154">
    <cfRule type="expression" dxfId="12" priority="3">
      <formula>$Y5="No"</formula>
    </cfRule>
    <cfRule type="expression" dxfId="11" priority="4">
      <formula>$X5="No"</formula>
    </cfRule>
  </conditionalFormatting>
  <dataValidations count="1">
    <dataValidation type="whole" allowBlank="1" showInputMessage="1" showErrorMessage="1" sqref="F5:F154 H5:I154" ns2:uid="{60451118-7B35-4991-B77F-14E3F2712965}">
      <formula1>0</formula1>
      <formula2>1000000</formula2>
    </dataValidation>
  </dataValidations>
  <pageMargins left="0.7" right="0.7" top="0.75" bottom="0.75" header="0.3" footer="0.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FC201A78-027F-4598-B578-E9020D5C77C8}">
  <sheetPr>
    <tabColor rgb="FF002060"/>
  </sheetPr>
  <dimension ref="A1:FE112"/>
  <sheetViews>
    <sheetView zoomScale="90" zoomScaleNormal="90" workbookViewId="0">
      <selection activeCell="B5" sqref="B5"/>
    </sheetView>
  </sheetViews>
  <sheetFormatPr defaultColWidth="8.85546875" defaultRowHeight="15"/>
  <cols>
    <col min="1" max="1" width="8.85546875" style="4"/>
    <col min="2" max="2" width="42.140625" style="4" customWidth="1"/>
    <col min="3" max="3" width="6.140625" style="4" bestFit="1" customWidth="1"/>
    <col min="4" max="4" width="13.42578125" style="4" customWidth="1"/>
    <col min="5" max="5" width="15.140625" style="4" bestFit="1" customWidth="1"/>
    <col min="6" max="6" width="12.140625" style="4" customWidth="1"/>
    <col min="7" max="7" width="20.42578125" style="4" bestFit="1" customWidth="1"/>
    <col min="8" max="8" width="25.140625" style="4" customWidth="1"/>
    <col min="9" max="10" width="14.140625" style="4" customWidth="1"/>
    <col min="11" max="11" width="15" style="4" customWidth="1"/>
    <col min="12" max="161" width="18.140625" style="4" customWidth="1"/>
    <col min="162" max="16384" width="8.85546875" style="4"/>
  </cols>
  <sheetData>
    <row r="1" spans="1:161" ht="31.5">
      <c r="F1" s="208"/>
      <c r="G1" s="141"/>
      <c r="H1" s="208" t="s">
        <v>910</v>
      </c>
      <c r="I1" s="208"/>
      <c r="J1" s="208"/>
      <c r="K1" s="208"/>
      <c r="L1" s="208"/>
      <c r="M1" s="208"/>
    </row>
  </sheetData>
  <sheetProtection algorithmName="SHA-512" hashValue="ZisbghSduTL4uOEEwEbUmJeTOktgrnJNSbuhIUm9yQ/HtH4XFSmtHDPzJ+NHfksv8FuQR1gwBOO54HgooemEZA==" saltValue="96hdJHuLSNgzU81pF/9lhg==" spinCount="100000" sheet="1" objects="1" scenarios="1" sort="0" autoFilter="0"/>
  <autoFilter ref="A4:I4" ns2:uid="{FC201A78-027F-4598-B578-E9020D5C77C8}"/>
  <mergeCells count="1">
    <mergeCell ref="A112:C112"/>
  </mergeCells>
  <conditionalFormatting sqref="B5:H111">
    <cfRule type="expression" dxfId="10" priority="1">
      <formula>$AL5="No"</formula>
    </cfRule>
    <cfRule type="expression" dxfId="9" priority="2">
      <formula>$AK5="No"</formula>
    </cfRule>
  </conditionalFormatting>
  <pageMargins left="0.7" right="0.7" top="0.75" bottom="0.75" header="0.3" footer="0.3"/>
  <pageSetup orientation="portrait" ns3:id="rId1"/>
</worksheet>
</file>

<file path=xl/worksheets/sheet8.xml><?xml version="1.0" encoding="utf-8"?>
<worksheet xmlns="http://schemas.openxmlformats.org/spreadsheetml/2006/main" xmlns:ns1="http://schemas.openxmlformats.org/markup-compatibility/2006" xmlns:ns2="http://schemas.microsoft.com/office/spreadsheetml/2014/revision" ns1:Ignorable="x14ac xr xr2 xr3" ns2:uid="{D9EC8E70-5442-4A1F-AA42-8D08FFFE1DFE}">
  <sheetPr codeName="Sheet7">
    <tabColor rgb="FF002060"/>
  </sheetPr>
  <dimension ref="A1:XFC145"/>
  <sheetViews>
    <sheetView zoomScaleNormal="100" workbookViewId="0">
      <selection activeCell="D5" sqref="D5:E5"/>
    </sheetView>
  </sheetViews>
  <sheetFormatPr defaultColWidth="0" defaultRowHeight="15" zeroHeight="1"/>
  <cols>
    <col min="1" max="1" width="8.85546875" customWidth="1"/>
    <col min="2" max="2" width="15.5703125" customWidth="1"/>
    <col min="3" max="3" width="66.140625" customWidth="1"/>
    <col min="4" max="6" width="15.5703125" customWidth="1"/>
    <col min="7" max="7" width="15.140625" style="4" customWidth="1"/>
    <col min="8" max="8" width="12.5703125" customWidth="1"/>
    <col min="9" max="9" width="13.5703125" customWidth="1"/>
    <col min="10" max="10" width="30.42578125" customWidth="1"/>
    <col min="11" max="11" width="15.140625" style="4" customWidth="1"/>
    <col min="12" max="12" width="8.85546875" style="4" customWidth="1"/>
    <col min="13" max="16383" width="8.85546875" hidden="1"/>
    <col min="16384" max="16384" width="2.42578125" hidden="1"/>
  </cols>
  <sheetData>
    <row r="1" spans="1:11">
      <c r="A1" s="4"/>
      <c r="B1" s="4"/>
      <c r="C1" s="4"/>
      <c r="D1" s="4"/>
      <c r="E1" s="4"/>
      <c r="F1" s="4"/>
      <c r="H1" s="4"/>
      <c r="I1" s="4"/>
      <c r="J1" s="4"/>
    </row>
  </sheetData>
  <sheetProtection algorithmName="SHA-512" hashValue="OCpSPkBL3o93cgI8RIgyPqnBZ/YeXFuxR5vvDqQt3DD5f0sX7tYefxBMQtavxpNdkk9VWECKTlHq6PTvk79wUw==" saltValue="e4VMWqapOvZ9jx+ZrD5YlQ==" spinCount="100000" sheet="1" objects="1" scenarios="1" sort="0" autoFilter="0"/>
  <autoFilter ref="B8:F8" ns2:uid="{D9EC8E70-5442-4A1F-AA42-8D08FFFE1DFE}"/>
  <mergeCells count="2">
    <mergeCell ref="B139:C139"/>
    <mergeCell ref="D2:I2"/>
  </mergeCells>
  <conditionalFormatting sqref="C5">
    <cfRule type="expression" dxfId="8" priority="1">
      <formula>$V5="No"</formula>
    </cfRule>
    <cfRule type="expression" dxfId="7" priority="2">
      <formula>$U5="No"</formula>
    </cfRule>
  </conditionalFormatting>
  <conditionalFormatting sqref="C9:C138">
    <cfRule type="expression" dxfId="6" priority="3">
      <formula>$Q9="No"</formula>
    </cfRule>
    <cfRule type="expression" dxfId="5" priority="4">
      <formula>$P9="No"</formula>
    </cfRule>
  </conditionalFormatting>
  <dataValidations count="2">
    <dataValidation type="whole" allowBlank="1" showInputMessage="1" showErrorMessage="1" sqref="D5 F5:G5" ns2:uid="{E93ACA95-63F8-4FB2-845C-02F28B1E9378}">
      <formula1>0</formula1>
      <formula2>1000000</formula2>
    </dataValidation>
    <dataValidation type="list" allowBlank="1" showInputMessage="1" showErrorMessage="1" sqref="C5" ns2:uid="{CEFBCAA3-4F48-4458-98C7-10969B39E41D}">
      <formula1>$J$9:$J$15</formula1>
    </dataValidation>
  </dataValidations>
  <pageMargins left="0.7" right="0.7" top="0.75" bottom="0.75" header="0.3" footer="0.3"/>
</worksheet>
</file>

<file path=xl/worksheets/sheet9.xml><?xml version="1.0" encoding="utf-8"?>
<worksheet xmlns="http://schemas.openxmlformats.org/spreadsheetml/2006/main" xmlns:ns1="http://schemas.openxmlformats.org/markup-compatibility/2006" xmlns:ns2="http://schemas.microsoft.com/office/spreadsheetml/2014/revision" ns1:Ignorable="x14ac xr xr2 xr3" ns2:uid="{E9A76680-E752-4D4D-8935-1C3A8F5B916B}">
  <sheetPr codeName="Sheet10">
    <tabColor rgb="FF002060"/>
  </sheetPr>
  <dimension ref="A1:R269"/>
  <sheetViews>
    <sheetView zoomScale="130" zoomScaleNormal="130" workbookViewId="0">
      <selection activeCell="E82" sqref="E82"/>
    </sheetView>
  </sheetViews>
  <sheetFormatPr defaultColWidth="0" defaultRowHeight="15" zeroHeight="1"/>
  <cols>
    <col min="1" max="1" width="7.5703125" style="4" customWidth="1"/>
    <col min="2" max="2" width="9.140625" customWidth="1"/>
    <col min="3" max="3" width="52.5703125" bestFit="1" customWidth="1"/>
    <col min="4" max="4" width="12.5703125" customWidth="1"/>
    <col min="5" max="5" width="16.42578125" customWidth="1"/>
    <col min="6" max="6" width="20.140625" customWidth="1"/>
    <col min="7" max="7" width="18.85546875" style="4" customWidth="1"/>
    <col min="8" max="8" width="9.140625" style="4" customWidth="1"/>
    <col min="9" max="9" width="43.42578125" hidden="1" customWidth="1"/>
    <col min="10" max="18" width="13.140625" hidden="1" customWidth="1"/>
    <col min="19" max="16384" width="9.140625" hidden="1"/>
  </cols>
  <sheetData>
    <row r="1" spans="2:7" s="4" customFormat="1" ht="6.75" customHeight="1"/>
  </sheetData>
  <sheetProtection algorithmName="SHA-512" hashValue="Ul4Sbul51UvkpA6tzlnK8f3fVlDhtypvuUeeTYmpQ0o7iMu7NfgKaTjLzR7eFS4gSgEISrLA5avfSaCNgPJOog==" saltValue="8wr2MHRH7wcqnrsKJ/+4eA==" spinCount="100000" sheet="1" sort="0" autoFilter="0"/>
  <autoFilter ref="C4:G4" ns2:uid="{E9A76680-E752-4D4D-8935-1C3A8F5B916B}"/>
  <mergeCells count="2">
    <mergeCell ref="B155:C155"/>
    <mergeCell ref="C2:F2"/>
  </mergeCells>
  <conditionalFormatting sqref="C5:C154">
    <cfRule type="expression" dxfId="4" priority="1">
      <formula>$S5="No"</formula>
    </cfRule>
    <cfRule type="expression" dxfId="3" priority="2">
      <formula>$R5="No"</formula>
    </cfRule>
  </conditionalFormatting>
  <dataValidations count="1">
    <dataValidation type="whole" allowBlank="1" showInputMessage="1" showErrorMessage="1" sqref="E5:E154" ns2:uid="{BC2AF254-4937-41F6-ACFB-FA6E2C7506A5}">
      <formula1>0</formula1>
      <formula2>1000000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D6AA-C364-49A2-B080-5D794155CEB2}">
  <sheetPr codeName="Sheet3">
    <tabColor rgb="FF9E0000"/>
  </sheetPr>
  <dimension ref="A1:M501"/>
  <sheetViews>
    <sheetView zoomScale="140" zoomScaleNormal="140" workbookViewId="0">
      <pane ySplit="1" topLeftCell="A333" activePane="bottomLeft" state="frozen"/>
      <selection pane="bottomLeft" activeCell="K346" sqref="K346"/>
    </sheetView>
  </sheetViews>
  <sheetFormatPr defaultColWidth="0" defaultRowHeight="15" zeroHeight="1"/>
  <cols>
    <col min="1" max="1" width="7" style="57" customWidth="1"/>
    <col min="2" max="2" width="31" style="57" bestFit="1" customWidth="1"/>
    <col min="3" max="3" width="18.85546875" style="57" bestFit="1" customWidth="1"/>
    <col min="4" max="4" width="11" style="57" customWidth="1"/>
    <col min="5" max="5" width="11.85546875" style="57" customWidth="1"/>
    <col min="6" max="6" width="12.140625" style="57" bestFit="1" customWidth="1"/>
    <col min="7" max="7" width="10.85546875" style="57" customWidth="1"/>
    <col min="8" max="8" width="7.5703125" style="57" customWidth="1"/>
    <col min="9" max="9" width="7.85546875" style="57" customWidth="1"/>
    <col min="10" max="10" width="10.85546875" style="58" customWidth="1"/>
    <col min="11" max="11" width="9.85546875" style="61" customWidth="1"/>
    <col min="12" max="12" width="9.85546875" style="57" customWidth="1"/>
    <col min="13" max="13" width="2.85546875" style="4" customWidth="1"/>
    <col min="14" max="16384" width="8.85546875" hidden="1"/>
  </cols>
  <sheetData>
    <row r="1" spans="1:13" s="2" customFormat="1" ht="40.5">
      <c r="A1" s="52" t="s">
        <v>83</v>
      </c>
      <c r="B1" s="54" t="s">
        <v>4</v>
      </c>
      <c r="C1" s="52" t="s">
        <v>84</v>
      </c>
      <c r="D1" s="52" t="s">
        <v>92</v>
      </c>
      <c r="E1" s="52" t="s">
        <v>91</v>
      </c>
      <c r="F1" s="52" t="s">
        <v>85</v>
      </c>
      <c r="G1" s="52" t="s">
        <v>86</v>
      </c>
      <c r="H1" s="52" t="s">
        <v>95</v>
      </c>
      <c r="I1" s="52" t="s">
        <v>87</v>
      </c>
      <c r="J1" s="53" t="s">
        <v>88</v>
      </c>
      <c r="K1" s="60" t="s">
        <v>69</v>
      </c>
      <c r="L1" s="55" t="s">
        <v>96</v>
      </c>
      <c r="M1" s="5"/>
    </row>
    <row r="2" spans="1:13" ht="14.25" customHeight="1">
      <c r="A2" s="99">
        <v>1</v>
      </c>
      <c r="B2" s="100" t="s">
        <v>906</v>
      </c>
      <c r="C2" s="225" t="s">
        <v>80</v>
      </c>
      <c r="D2" s="226" t="s">
        <v>81</v>
      </c>
      <c r="E2" s="227" t="s">
        <v>90</v>
      </c>
      <c r="F2" s="227" t="s">
        <v>89</v>
      </c>
      <c r="G2" s="62" t="s">
        <v>97</v>
      </c>
      <c r="H2" s="62" t="s">
        <v>98</v>
      </c>
      <c r="I2" s="63">
        <v>56</v>
      </c>
      <c r="J2" s="64">
        <v>2800</v>
      </c>
      <c r="K2" s="228">
        <v>1</v>
      </c>
      <c r="L2" s="56"/>
    </row>
    <row r="3" spans="1:13" ht="14.25" customHeight="1">
      <c r="A3" s="99">
        <v>2</v>
      </c>
      <c r="B3" s="100" t="str">
        <f t="shared" ref="B3:B66" si="0">IF(C3="","",IF(D3="Conv",IFERROR(D3&amp;"-"&amp;C3&amp;"-"&amp;F3&amp;"-"&amp;G3&amp;""&amp;H3&amp;"-"&amp;I3&amp;"W",""),IFERROR(C3&amp;"-"&amp;F3&amp;"-"&amp;G3&amp;""&amp;H3&amp;"-"&amp;I3&amp;"W","")))</f>
        <v>Conv-FTL-T8-1.5M-2X-56W</v>
      </c>
      <c r="C3" s="225" t="s">
        <v>80</v>
      </c>
      <c r="D3" s="226" t="s">
        <v>81</v>
      </c>
      <c r="E3" s="227" t="s">
        <v>90</v>
      </c>
      <c r="F3" s="227" t="s">
        <v>89</v>
      </c>
      <c r="G3" s="62" t="s">
        <v>97</v>
      </c>
      <c r="H3" s="62" t="s">
        <v>99</v>
      </c>
      <c r="I3" s="63">
        <v>56</v>
      </c>
      <c r="J3" s="64">
        <v>5600</v>
      </c>
      <c r="K3" s="228">
        <v>2</v>
      </c>
      <c r="L3" s="56"/>
    </row>
    <row r="4" spans="1:13" ht="14.25" customHeight="1">
      <c r="A4" s="99">
        <v>3</v>
      </c>
      <c r="B4" s="100" t="str">
        <f t="shared" si="0"/>
        <v>Conv-FTL-T8-1.5M-3X-56W</v>
      </c>
      <c r="C4" s="225" t="s">
        <v>80</v>
      </c>
      <c r="D4" s="226" t="s">
        <v>81</v>
      </c>
      <c r="E4" s="227" t="s">
        <v>90</v>
      </c>
      <c r="F4" s="227" t="s">
        <v>89</v>
      </c>
      <c r="G4" s="62" t="s">
        <v>97</v>
      </c>
      <c r="H4" s="62" t="s">
        <v>100</v>
      </c>
      <c r="I4" s="63">
        <v>56</v>
      </c>
      <c r="J4" s="64">
        <v>8400</v>
      </c>
      <c r="K4" s="228">
        <v>3</v>
      </c>
      <c r="L4" s="56"/>
    </row>
    <row r="5" spans="1:13" ht="14.25" customHeight="1">
      <c r="A5" s="99">
        <v>4</v>
      </c>
      <c r="B5" s="100" t="str">
        <f t="shared" si="0"/>
        <v>Conv-FTL-T8-1.5M-4X-56W</v>
      </c>
      <c r="C5" s="225" t="s">
        <v>80</v>
      </c>
      <c r="D5" s="226" t="s">
        <v>81</v>
      </c>
      <c r="E5" s="227" t="s">
        <v>90</v>
      </c>
      <c r="F5" s="227" t="s">
        <v>89</v>
      </c>
      <c r="G5" s="62" t="s">
        <v>97</v>
      </c>
      <c r="H5" s="62" t="s">
        <v>101</v>
      </c>
      <c r="I5" s="63">
        <v>56</v>
      </c>
      <c r="J5" s="64">
        <v>11200</v>
      </c>
      <c r="K5" s="228">
        <v>4</v>
      </c>
      <c r="L5" s="56"/>
    </row>
    <row r="6" spans="1:13" ht="14.25" customHeight="1">
      <c r="A6" s="99">
        <v>5</v>
      </c>
      <c r="B6" s="100" t="str">
        <f t="shared" si="0"/>
        <v>Conv-FTL-T12-1.2M-1X-40W</v>
      </c>
      <c r="C6" s="225" t="s">
        <v>80</v>
      </c>
      <c r="D6" s="226" t="s">
        <v>81</v>
      </c>
      <c r="E6" s="227" t="s">
        <v>90</v>
      </c>
      <c r="F6" s="227" t="s">
        <v>945</v>
      </c>
      <c r="G6" s="62" t="s">
        <v>102</v>
      </c>
      <c r="H6" s="62" t="s">
        <v>98</v>
      </c>
      <c r="I6" s="63">
        <v>40</v>
      </c>
      <c r="J6" s="64">
        <f>IFERROR(K6*I6*VLOOKUP(C6,Mnu!$E$20:$F$37,2,FALSE)," ")</f>
        <v>2000</v>
      </c>
      <c r="K6" s="228">
        <v>1</v>
      </c>
      <c r="L6" s="56"/>
    </row>
    <row r="7" spans="1:13" ht="14.25" customHeight="1">
      <c r="A7" s="99">
        <v>6</v>
      </c>
      <c r="B7" s="100" t="str">
        <f t="shared" si="0"/>
        <v>Conv-FTL-T12-1.2M-2X-40W</v>
      </c>
      <c r="C7" s="225" t="s">
        <v>80</v>
      </c>
      <c r="D7" s="226" t="s">
        <v>81</v>
      </c>
      <c r="E7" s="227" t="s">
        <v>90</v>
      </c>
      <c r="F7" s="227" t="s">
        <v>945</v>
      </c>
      <c r="G7" s="62" t="s">
        <v>102</v>
      </c>
      <c r="H7" s="62" t="s">
        <v>99</v>
      </c>
      <c r="I7" s="63">
        <v>40</v>
      </c>
      <c r="J7" s="64">
        <f>IFERROR(K7*I7*VLOOKUP(C7,Mnu!$E$20:$F$37,2,FALSE)," ")</f>
        <v>4000</v>
      </c>
      <c r="K7" s="228">
        <v>2</v>
      </c>
      <c r="L7" s="56"/>
    </row>
    <row r="8" spans="1:13" ht="14.25" customHeight="1">
      <c r="A8" s="99">
        <v>7</v>
      </c>
      <c r="B8" s="100" t="str">
        <f t="shared" si="0"/>
        <v>Conv-FTL-T12-1.2M-3X-40W</v>
      </c>
      <c r="C8" s="225" t="s">
        <v>80</v>
      </c>
      <c r="D8" s="226" t="s">
        <v>81</v>
      </c>
      <c r="E8" s="227" t="s">
        <v>90</v>
      </c>
      <c r="F8" s="227" t="s">
        <v>945</v>
      </c>
      <c r="G8" s="62" t="s">
        <v>102</v>
      </c>
      <c r="H8" s="62" t="s">
        <v>100</v>
      </c>
      <c r="I8" s="63">
        <v>40</v>
      </c>
      <c r="J8" s="64">
        <f>IFERROR(K8*I8*VLOOKUP(C8,Mnu!$E$20:$F$37,2,FALSE)," ")</f>
        <v>6000</v>
      </c>
      <c r="K8" s="228">
        <v>3</v>
      </c>
      <c r="L8" s="56"/>
    </row>
    <row r="9" spans="1:13" ht="14.25" customHeight="1">
      <c r="A9" s="99">
        <v>8</v>
      </c>
      <c r="B9" s="100" t="str">
        <f t="shared" si="0"/>
        <v>Conv-FTL-T12-1.2M-4X-40W</v>
      </c>
      <c r="C9" s="225" t="s">
        <v>80</v>
      </c>
      <c r="D9" s="226" t="s">
        <v>81</v>
      </c>
      <c r="E9" s="227" t="s">
        <v>90</v>
      </c>
      <c r="F9" s="227" t="s">
        <v>945</v>
      </c>
      <c r="G9" s="62" t="s">
        <v>102</v>
      </c>
      <c r="H9" s="62" t="s">
        <v>101</v>
      </c>
      <c r="I9" s="63">
        <v>40</v>
      </c>
      <c r="J9" s="64">
        <f>IFERROR(K9*I9*VLOOKUP(C9,Mnu!$E$20:$F$37,2,FALSE)," ")</f>
        <v>8000</v>
      </c>
      <c r="K9" s="228">
        <v>4</v>
      </c>
      <c r="L9" s="56"/>
    </row>
    <row r="10" spans="1:13" ht="14.25" customHeight="1">
      <c r="A10" s="99">
        <v>9</v>
      </c>
      <c r="B10" s="100" t="str">
        <f t="shared" si="0"/>
        <v>Conv-FTL-T8-1.2M-1X-36W</v>
      </c>
      <c r="C10" s="225" t="s">
        <v>80</v>
      </c>
      <c r="D10" s="226" t="s">
        <v>81</v>
      </c>
      <c r="E10" s="227" t="s">
        <v>90</v>
      </c>
      <c r="F10" s="227" t="s">
        <v>89</v>
      </c>
      <c r="G10" s="62" t="s">
        <v>102</v>
      </c>
      <c r="H10" s="62" t="s">
        <v>98</v>
      </c>
      <c r="I10" s="63">
        <v>36</v>
      </c>
      <c r="J10" s="64">
        <f>IFERROR(K10*I10*VLOOKUP(C10,Mnu!$E$20:$F$37,2,FALSE)," ")</f>
        <v>1800</v>
      </c>
      <c r="K10" s="228">
        <v>1</v>
      </c>
      <c r="L10" s="56"/>
    </row>
    <row r="11" spans="1:13" ht="14.25" customHeight="1">
      <c r="A11" s="99">
        <v>10</v>
      </c>
      <c r="B11" s="100" t="str">
        <f t="shared" si="0"/>
        <v>Conv-FTL-T8-1.2M-2X-36W</v>
      </c>
      <c r="C11" s="225" t="s">
        <v>80</v>
      </c>
      <c r="D11" s="226" t="s">
        <v>81</v>
      </c>
      <c r="E11" s="227" t="s">
        <v>90</v>
      </c>
      <c r="F11" s="227" t="s">
        <v>89</v>
      </c>
      <c r="G11" s="62" t="s">
        <v>102</v>
      </c>
      <c r="H11" s="62" t="s">
        <v>99</v>
      </c>
      <c r="I11" s="63">
        <v>36</v>
      </c>
      <c r="J11" s="64">
        <f>IFERROR(K11*I11*VLOOKUP(C11,Mnu!$E$20:$F$37,2,FALSE)," ")</f>
        <v>3600</v>
      </c>
      <c r="K11" s="228">
        <v>2</v>
      </c>
      <c r="L11" s="56"/>
    </row>
    <row r="12" spans="1:13" ht="14.25" customHeight="1">
      <c r="A12" s="99">
        <v>11</v>
      </c>
      <c r="B12" s="100" t="str">
        <f t="shared" si="0"/>
        <v>Conv-FTL-T8-1.2M-3X-36W</v>
      </c>
      <c r="C12" s="225" t="s">
        <v>80</v>
      </c>
      <c r="D12" s="226" t="s">
        <v>81</v>
      </c>
      <c r="E12" s="227" t="s">
        <v>90</v>
      </c>
      <c r="F12" s="227" t="s">
        <v>89</v>
      </c>
      <c r="G12" s="62" t="s">
        <v>102</v>
      </c>
      <c r="H12" s="62" t="s">
        <v>100</v>
      </c>
      <c r="I12" s="63">
        <v>36</v>
      </c>
      <c r="J12" s="64">
        <f>IFERROR(K12*I12*VLOOKUP(C12,Mnu!$E$20:$F$37,2,FALSE)," ")</f>
        <v>5400</v>
      </c>
      <c r="K12" s="228">
        <v>3</v>
      </c>
      <c r="L12" s="56"/>
    </row>
    <row r="13" spans="1:13" ht="14.25" customHeight="1">
      <c r="A13" s="99">
        <v>12</v>
      </c>
      <c r="B13" s="100" t="str">
        <f t="shared" si="0"/>
        <v>Conv-FTL-T8-1.2M-4X-36W</v>
      </c>
      <c r="C13" s="225" t="s">
        <v>80</v>
      </c>
      <c r="D13" s="226" t="s">
        <v>81</v>
      </c>
      <c r="E13" s="227" t="s">
        <v>90</v>
      </c>
      <c r="F13" s="227" t="s">
        <v>89</v>
      </c>
      <c r="G13" s="62" t="s">
        <v>102</v>
      </c>
      <c r="H13" s="62" t="s">
        <v>101</v>
      </c>
      <c r="I13" s="63">
        <v>36</v>
      </c>
      <c r="J13" s="64">
        <f>IFERROR(K13*I13*VLOOKUP(C13,Mnu!$E$20:$F$37,2,FALSE)," ")</f>
        <v>7200</v>
      </c>
      <c r="K13" s="228">
        <v>4</v>
      </c>
      <c r="L13" s="56"/>
    </row>
    <row r="14" spans="1:13" ht="14.25" customHeight="1">
      <c r="A14" s="99">
        <v>13</v>
      </c>
      <c r="B14" s="100" t="str">
        <f t="shared" si="0"/>
        <v>Conv-FTL-T12-0.6M-1X-20W</v>
      </c>
      <c r="C14" s="225" t="s">
        <v>80</v>
      </c>
      <c r="D14" s="226" t="s">
        <v>81</v>
      </c>
      <c r="E14" s="227" t="s">
        <v>90</v>
      </c>
      <c r="F14" s="227" t="s">
        <v>945</v>
      </c>
      <c r="G14" s="62" t="s">
        <v>103</v>
      </c>
      <c r="H14" s="62" t="s">
        <v>98</v>
      </c>
      <c r="I14" s="63">
        <v>20</v>
      </c>
      <c r="J14" s="64">
        <f>IFERROR(K14*I14*VLOOKUP(C14,Mnu!$E$20:$F$37,2,FALSE)," ")</f>
        <v>1000</v>
      </c>
      <c r="K14" s="228">
        <v>1</v>
      </c>
      <c r="L14" s="56"/>
    </row>
    <row r="15" spans="1:13" ht="14.25" customHeight="1">
      <c r="A15" s="99">
        <v>14</v>
      </c>
      <c r="B15" s="100" t="str">
        <f t="shared" si="0"/>
        <v>Conv-FTL-T12-0.6M-2X-20W</v>
      </c>
      <c r="C15" s="225" t="s">
        <v>80</v>
      </c>
      <c r="D15" s="226" t="s">
        <v>81</v>
      </c>
      <c r="E15" s="227" t="s">
        <v>90</v>
      </c>
      <c r="F15" s="227" t="s">
        <v>945</v>
      </c>
      <c r="G15" s="62" t="s">
        <v>103</v>
      </c>
      <c r="H15" s="62" t="s">
        <v>99</v>
      </c>
      <c r="I15" s="63">
        <v>20</v>
      </c>
      <c r="J15" s="64">
        <f>IFERROR(K15*I15*VLOOKUP(C15,Mnu!$E$20:$F$37,2,FALSE)," ")</f>
        <v>2000</v>
      </c>
      <c r="K15" s="228">
        <v>2</v>
      </c>
      <c r="L15" s="56"/>
    </row>
    <row r="16" spans="1:13" ht="14.25" customHeight="1">
      <c r="A16" s="99">
        <v>15</v>
      </c>
      <c r="B16" s="100" t="str">
        <f t="shared" si="0"/>
        <v>Conv-FTL-T12-0.6M-3X-20W</v>
      </c>
      <c r="C16" s="225" t="s">
        <v>80</v>
      </c>
      <c r="D16" s="226" t="s">
        <v>81</v>
      </c>
      <c r="E16" s="227" t="s">
        <v>90</v>
      </c>
      <c r="F16" s="227" t="s">
        <v>945</v>
      </c>
      <c r="G16" s="62" t="s">
        <v>103</v>
      </c>
      <c r="H16" s="62" t="s">
        <v>100</v>
      </c>
      <c r="I16" s="63">
        <v>20</v>
      </c>
      <c r="J16" s="64">
        <f>IFERROR(K16*I16*VLOOKUP(C16,Mnu!$E$20:$F$37,2,FALSE)," ")</f>
        <v>3000</v>
      </c>
      <c r="K16" s="228">
        <v>3</v>
      </c>
      <c r="L16" s="56"/>
    </row>
    <row r="17" spans="1:12" ht="14.25" customHeight="1">
      <c r="A17" s="99">
        <v>16</v>
      </c>
      <c r="B17" s="100" t="str">
        <f t="shared" si="0"/>
        <v>Conv-FTL-T12-0.6M-4X-20W</v>
      </c>
      <c r="C17" s="225" t="s">
        <v>80</v>
      </c>
      <c r="D17" s="226" t="s">
        <v>81</v>
      </c>
      <c r="E17" s="227" t="s">
        <v>90</v>
      </c>
      <c r="F17" s="227" t="s">
        <v>945</v>
      </c>
      <c r="G17" s="62" t="s">
        <v>103</v>
      </c>
      <c r="H17" s="62" t="s">
        <v>101</v>
      </c>
      <c r="I17" s="63">
        <v>20</v>
      </c>
      <c r="J17" s="64">
        <f>IFERROR(K17*I17*VLOOKUP(C17,Mnu!$E$20:$F$37,2,FALSE)," ")</f>
        <v>4000</v>
      </c>
      <c r="K17" s="228">
        <v>4</v>
      </c>
      <c r="L17" s="56"/>
    </row>
    <row r="18" spans="1:12" ht="14.25" customHeight="1">
      <c r="A18" s="99">
        <v>17</v>
      </c>
      <c r="B18" s="100" t="str">
        <f t="shared" si="0"/>
        <v>Conv-FTL-T8-0.6M-1X-18W</v>
      </c>
      <c r="C18" s="225" t="s">
        <v>80</v>
      </c>
      <c r="D18" s="226" t="s">
        <v>81</v>
      </c>
      <c r="E18" s="227" t="s">
        <v>90</v>
      </c>
      <c r="F18" s="227" t="s">
        <v>89</v>
      </c>
      <c r="G18" s="62" t="s">
        <v>103</v>
      </c>
      <c r="H18" s="62" t="s">
        <v>98</v>
      </c>
      <c r="I18" s="63">
        <v>18</v>
      </c>
      <c r="J18" s="64">
        <f>IFERROR(K18*I18*VLOOKUP(C18,Mnu!$E$20:$F$37,2,FALSE)," ")</f>
        <v>900</v>
      </c>
      <c r="K18" s="228">
        <v>1</v>
      </c>
      <c r="L18" s="56"/>
    </row>
    <row r="19" spans="1:12" ht="14.25" customHeight="1">
      <c r="A19" s="99">
        <v>18</v>
      </c>
      <c r="B19" s="100" t="str">
        <f t="shared" si="0"/>
        <v>Conv-FTL-T8-0.6M-2X-18W</v>
      </c>
      <c r="C19" s="225" t="s">
        <v>80</v>
      </c>
      <c r="D19" s="226" t="s">
        <v>81</v>
      </c>
      <c r="E19" s="227" t="s">
        <v>90</v>
      </c>
      <c r="F19" s="227" t="s">
        <v>89</v>
      </c>
      <c r="G19" s="62" t="s">
        <v>103</v>
      </c>
      <c r="H19" s="62" t="s">
        <v>99</v>
      </c>
      <c r="I19" s="63">
        <v>18</v>
      </c>
      <c r="J19" s="64">
        <f>IFERROR(K19*I19*VLOOKUP(C19,Mnu!$E$20:$F$37,2,FALSE)," ")</f>
        <v>1800</v>
      </c>
      <c r="K19" s="228">
        <v>2</v>
      </c>
      <c r="L19" s="56"/>
    </row>
    <row r="20" spans="1:12" ht="14.25" customHeight="1">
      <c r="A20" s="99">
        <v>19</v>
      </c>
      <c r="B20" s="100" t="str">
        <f t="shared" si="0"/>
        <v>Conv-FTL-T8-0.6M-3X-18W</v>
      </c>
      <c r="C20" s="225" t="s">
        <v>80</v>
      </c>
      <c r="D20" s="226" t="s">
        <v>81</v>
      </c>
      <c r="E20" s="227" t="s">
        <v>90</v>
      </c>
      <c r="F20" s="227" t="s">
        <v>89</v>
      </c>
      <c r="G20" s="62" t="s">
        <v>103</v>
      </c>
      <c r="H20" s="62" t="s">
        <v>100</v>
      </c>
      <c r="I20" s="63">
        <v>18</v>
      </c>
      <c r="J20" s="64">
        <f>IFERROR(K20*I20*VLOOKUP(C20,Mnu!$E$20:$F$37,2,FALSE)," ")</f>
        <v>2700</v>
      </c>
      <c r="K20" s="228">
        <v>3</v>
      </c>
      <c r="L20" s="56"/>
    </row>
    <row r="21" spans="1:12" ht="14.25" customHeight="1">
      <c r="A21" s="99">
        <v>20</v>
      </c>
      <c r="B21" s="100" t="str">
        <f t="shared" si="0"/>
        <v>Conv-FTL-T8-0.6M-4X-18W</v>
      </c>
      <c r="C21" s="225" t="s">
        <v>80</v>
      </c>
      <c r="D21" s="226" t="s">
        <v>81</v>
      </c>
      <c r="E21" s="227" t="s">
        <v>90</v>
      </c>
      <c r="F21" s="227" t="s">
        <v>89</v>
      </c>
      <c r="G21" s="62" t="s">
        <v>103</v>
      </c>
      <c r="H21" s="62" t="s">
        <v>101</v>
      </c>
      <c r="I21" s="63">
        <v>18</v>
      </c>
      <c r="J21" s="64">
        <f>IFERROR(K21*I21*VLOOKUP(C21,Mnu!$E$20:$F$37,2,FALSE)," ")</f>
        <v>3600</v>
      </c>
      <c r="K21" s="228">
        <v>4</v>
      </c>
      <c r="L21" s="56"/>
    </row>
    <row r="22" spans="1:12" ht="14.25" customHeight="1">
      <c r="A22" s="99">
        <v>21</v>
      </c>
      <c r="B22" s="100" t="str">
        <f t="shared" si="0"/>
        <v>Conv-FTL-T5-1.5M-1X-35W</v>
      </c>
      <c r="C22" s="225" t="s">
        <v>80</v>
      </c>
      <c r="D22" s="226" t="s">
        <v>81</v>
      </c>
      <c r="E22" s="227" t="s">
        <v>90</v>
      </c>
      <c r="F22" s="227" t="s">
        <v>94</v>
      </c>
      <c r="G22" s="62" t="s">
        <v>97</v>
      </c>
      <c r="H22" s="62" t="s">
        <v>98</v>
      </c>
      <c r="I22" s="63">
        <v>35</v>
      </c>
      <c r="J22" s="64">
        <f>IFERROR(K22*I22*VLOOKUP(C22,Mnu!$E$20:$F$37,2,FALSE)," ")</f>
        <v>1750</v>
      </c>
      <c r="K22" s="228">
        <v>1</v>
      </c>
      <c r="L22" s="56"/>
    </row>
    <row r="23" spans="1:12" ht="14.25" customHeight="1">
      <c r="A23" s="99">
        <v>22</v>
      </c>
      <c r="B23" s="100" t="str">
        <f t="shared" si="0"/>
        <v>Conv-FTL-T5-1.5M-2X-35W</v>
      </c>
      <c r="C23" s="225" t="s">
        <v>80</v>
      </c>
      <c r="D23" s="226" t="s">
        <v>81</v>
      </c>
      <c r="E23" s="227" t="s">
        <v>90</v>
      </c>
      <c r="F23" s="227" t="s">
        <v>94</v>
      </c>
      <c r="G23" s="62" t="s">
        <v>97</v>
      </c>
      <c r="H23" s="62" t="s">
        <v>99</v>
      </c>
      <c r="I23" s="63">
        <v>35</v>
      </c>
      <c r="J23" s="64">
        <f>IFERROR(K23*I23*VLOOKUP(C23,Mnu!$E$20:$F$37,2,FALSE)," ")</f>
        <v>3500</v>
      </c>
      <c r="K23" s="228">
        <v>2</v>
      </c>
      <c r="L23" s="56"/>
    </row>
    <row r="24" spans="1:12" ht="14.25" customHeight="1">
      <c r="A24" s="99">
        <v>23</v>
      </c>
      <c r="B24" s="100" t="str">
        <f t="shared" si="0"/>
        <v>Conv-FTL-T5-1.5M-3X-35W</v>
      </c>
      <c r="C24" s="225" t="s">
        <v>80</v>
      </c>
      <c r="D24" s="226" t="s">
        <v>81</v>
      </c>
      <c r="E24" s="227" t="s">
        <v>90</v>
      </c>
      <c r="F24" s="227" t="s">
        <v>94</v>
      </c>
      <c r="G24" s="62" t="s">
        <v>97</v>
      </c>
      <c r="H24" s="62" t="s">
        <v>100</v>
      </c>
      <c r="I24" s="63">
        <v>35</v>
      </c>
      <c r="J24" s="64">
        <f>IFERROR(K24*I24*VLOOKUP(C24,Mnu!$E$20:$F$37,2,FALSE)," ")</f>
        <v>5250</v>
      </c>
      <c r="K24" s="228">
        <v>3</v>
      </c>
      <c r="L24" s="56"/>
    </row>
    <row r="25" spans="1:12" ht="14.25" customHeight="1">
      <c r="A25" s="99">
        <v>24</v>
      </c>
      <c r="B25" s="100" t="str">
        <f t="shared" si="0"/>
        <v>Conv-FTL-T5-1.5M-4X-35W</v>
      </c>
      <c r="C25" s="225" t="s">
        <v>80</v>
      </c>
      <c r="D25" s="226" t="s">
        <v>81</v>
      </c>
      <c r="E25" s="227" t="s">
        <v>90</v>
      </c>
      <c r="F25" s="227" t="s">
        <v>94</v>
      </c>
      <c r="G25" s="62" t="s">
        <v>97</v>
      </c>
      <c r="H25" s="62" t="s">
        <v>101</v>
      </c>
      <c r="I25" s="63">
        <v>35</v>
      </c>
      <c r="J25" s="64">
        <f>IFERROR(K25*I25*VLOOKUP(C25,Mnu!$E$20:$F$37,2,FALSE)," ")</f>
        <v>7000</v>
      </c>
      <c r="K25" s="228">
        <v>4</v>
      </c>
      <c r="L25" s="56"/>
    </row>
    <row r="26" spans="1:12" ht="14.25" customHeight="1">
      <c r="A26" s="99">
        <v>25</v>
      </c>
      <c r="B26" s="100" t="str">
        <f t="shared" si="0"/>
        <v>Conv-FTL-T5-1.2M-1X-28W</v>
      </c>
      <c r="C26" s="225" t="s">
        <v>80</v>
      </c>
      <c r="D26" s="226" t="s">
        <v>81</v>
      </c>
      <c r="E26" s="227" t="s">
        <v>90</v>
      </c>
      <c r="F26" s="227" t="s">
        <v>94</v>
      </c>
      <c r="G26" s="62" t="s">
        <v>102</v>
      </c>
      <c r="H26" s="62" t="s">
        <v>98</v>
      </c>
      <c r="I26" s="63">
        <v>28</v>
      </c>
      <c r="J26" s="64">
        <f>IFERROR(K26*I26*VLOOKUP(C26,Mnu!$E$20:$F$37,2,FALSE)," ")</f>
        <v>1400</v>
      </c>
      <c r="K26" s="228">
        <v>1</v>
      </c>
      <c r="L26" s="56"/>
    </row>
    <row r="27" spans="1:12" ht="14.25" customHeight="1">
      <c r="A27" s="99">
        <v>26</v>
      </c>
      <c r="B27" s="100" t="str">
        <f t="shared" si="0"/>
        <v>Conv-FTL-T5-1.2M-2X-28W</v>
      </c>
      <c r="C27" s="225" t="s">
        <v>80</v>
      </c>
      <c r="D27" s="226" t="s">
        <v>81</v>
      </c>
      <c r="E27" s="227" t="s">
        <v>90</v>
      </c>
      <c r="F27" s="227" t="s">
        <v>94</v>
      </c>
      <c r="G27" s="62" t="s">
        <v>102</v>
      </c>
      <c r="H27" s="62" t="s">
        <v>99</v>
      </c>
      <c r="I27" s="63">
        <v>28</v>
      </c>
      <c r="J27" s="64">
        <f>IFERROR(K27*I27*VLOOKUP(C27,Mnu!$E$20:$F$37,2,FALSE)," ")</f>
        <v>2800</v>
      </c>
      <c r="K27" s="228">
        <v>2</v>
      </c>
      <c r="L27" s="56"/>
    </row>
    <row r="28" spans="1:12" ht="14.25" customHeight="1">
      <c r="A28" s="99">
        <v>27</v>
      </c>
      <c r="B28" s="100" t="str">
        <f t="shared" si="0"/>
        <v>Conv-FTL-T5-1.2M-3X-28W</v>
      </c>
      <c r="C28" s="225" t="s">
        <v>80</v>
      </c>
      <c r="D28" s="226" t="s">
        <v>81</v>
      </c>
      <c r="E28" s="227" t="s">
        <v>90</v>
      </c>
      <c r="F28" s="227" t="s">
        <v>94</v>
      </c>
      <c r="G28" s="62" t="s">
        <v>102</v>
      </c>
      <c r="H28" s="62" t="s">
        <v>100</v>
      </c>
      <c r="I28" s="63">
        <v>28</v>
      </c>
      <c r="J28" s="64">
        <f>IFERROR(K28*I28*VLOOKUP(C28,Mnu!$E$20:$F$37,2,FALSE)," ")</f>
        <v>4200</v>
      </c>
      <c r="K28" s="228">
        <v>3</v>
      </c>
      <c r="L28" s="56"/>
    </row>
    <row r="29" spans="1:12" ht="14.25" customHeight="1">
      <c r="A29" s="99">
        <v>28</v>
      </c>
      <c r="B29" s="100" t="str">
        <f t="shared" si="0"/>
        <v>Conv-FTL-T5-1.2M-4X-28W</v>
      </c>
      <c r="C29" s="225" t="s">
        <v>80</v>
      </c>
      <c r="D29" s="226" t="s">
        <v>81</v>
      </c>
      <c r="E29" s="227" t="s">
        <v>90</v>
      </c>
      <c r="F29" s="227" t="s">
        <v>94</v>
      </c>
      <c r="G29" s="62" t="s">
        <v>102</v>
      </c>
      <c r="H29" s="62" t="s">
        <v>101</v>
      </c>
      <c r="I29" s="63">
        <v>28</v>
      </c>
      <c r="J29" s="64">
        <f>IFERROR(K29*I29*VLOOKUP(C29,Mnu!$E$20:$F$37,2,FALSE)," ")</f>
        <v>5600</v>
      </c>
      <c r="K29" s="228">
        <v>4</v>
      </c>
      <c r="L29" s="56"/>
    </row>
    <row r="30" spans="1:12" ht="14.25" customHeight="1">
      <c r="A30" s="99">
        <v>29</v>
      </c>
      <c r="B30" s="100" t="str">
        <f t="shared" si="0"/>
        <v>Conv-FTL-T5-0.6M-1X-14W</v>
      </c>
      <c r="C30" s="225" t="s">
        <v>80</v>
      </c>
      <c r="D30" s="226" t="s">
        <v>81</v>
      </c>
      <c r="E30" s="227" t="s">
        <v>90</v>
      </c>
      <c r="F30" s="227" t="s">
        <v>94</v>
      </c>
      <c r="G30" s="62" t="s">
        <v>103</v>
      </c>
      <c r="H30" s="62" t="s">
        <v>98</v>
      </c>
      <c r="I30" s="63">
        <v>14</v>
      </c>
      <c r="J30" s="64">
        <f>IFERROR(K30*I30*VLOOKUP(C30,Mnu!$E$20:$F$37,2,FALSE)," ")</f>
        <v>700</v>
      </c>
      <c r="K30" s="228">
        <v>1</v>
      </c>
      <c r="L30" s="56"/>
    </row>
    <row r="31" spans="1:12" ht="14.25" customHeight="1">
      <c r="A31" s="99">
        <v>30</v>
      </c>
      <c r="B31" s="100" t="str">
        <f t="shared" si="0"/>
        <v>Conv-FTL-T5-0.6M-2X-14W</v>
      </c>
      <c r="C31" s="225" t="s">
        <v>80</v>
      </c>
      <c r="D31" s="226" t="s">
        <v>81</v>
      </c>
      <c r="E31" s="227" t="s">
        <v>90</v>
      </c>
      <c r="F31" s="227" t="s">
        <v>94</v>
      </c>
      <c r="G31" s="62" t="s">
        <v>103</v>
      </c>
      <c r="H31" s="62" t="s">
        <v>99</v>
      </c>
      <c r="I31" s="63">
        <v>14</v>
      </c>
      <c r="J31" s="64">
        <f>IFERROR(K31*I31*VLOOKUP(C31,Mnu!$E$20:$F$37,2,FALSE)," ")</f>
        <v>1400</v>
      </c>
      <c r="K31" s="228">
        <v>2</v>
      </c>
      <c r="L31" s="56"/>
    </row>
    <row r="32" spans="1:12" ht="14.25" customHeight="1">
      <c r="A32" s="99">
        <v>31</v>
      </c>
      <c r="B32" s="100" t="str">
        <f t="shared" si="0"/>
        <v>Conv-FTL-T5-0.6M-3X-14W</v>
      </c>
      <c r="C32" s="225" t="s">
        <v>80</v>
      </c>
      <c r="D32" s="226" t="s">
        <v>81</v>
      </c>
      <c r="E32" s="227" t="s">
        <v>90</v>
      </c>
      <c r="F32" s="227" t="s">
        <v>94</v>
      </c>
      <c r="G32" s="62" t="s">
        <v>103</v>
      </c>
      <c r="H32" s="62" t="s">
        <v>100</v>
      </c>
      <c r="I32" s="63">
        <v>14</v>
      </c>
      <c r="J32" s="64">
        <f>IFERROR(K32*I32*VLOOKUP(C32,Mnu!$E$20:$F$37,2,FALSE)," ")</f>
        <v>2100</v>
      </c>
      <c r="K32" s="228">
        <v>3</v>
      </c>
      <c r="L32" s="56"/>
    </row>
    <row r="33" spans="1:12" ht="14.25" customHeight="1">
      <c r="A33" s="99">
        <v>32</v>
      </c>
      <c r="B33" s="100" t="str">
        <f t="shared" si="0"/>
        <v>Conv-FTL-T5-0.6M-4X-14W</v>
      </c>
      <c r="C33" s="225" t="s">
        <v>80</v>
      </c>
      <c r="D33" s="226" t="s">
        <v>81</v>
      </c>
      <c r="E33" s="227" t="s">
        <v>90</v>
      </c>
      <c r="F33" s="227" t="s">
        <v>94</v>
      </c>
      <c r="G33" s="62" t="s">
        <v>103</v>
      </c>
      <c r="H33" s="62" t="s">
        <v>101</v>
      </c>
      <c r="I33" s="63">
        <v>14</v>
      </c>
      <c r="J33" s="64">
        <f>IFERROR(K33*I33*VLOOKUP(C33,Mnu!$E$20:$F$37,2,FALSE)," ")</f>
        <v>2800</v>
      </c>
      <c r="K33" s="228">
        <v>4</v>
      </c>
      <c r="L33" s="56"/>
    </row>
    <row r="34" spans="1:12" ht="14.25" customHeight="1">
      <c r="A34" s="99">
        <v>33</v>
      </c>
      <c r="B34" s="100" t="str">
        <f t="shared" si="0"/>
        <v>Conv-CFL-E27-1X-9W</v>
      </c>
      <c r="C34" s="225" t="s">
        <v>93</v>
      </c>
      <c r="D34" s="226" t="s">
        <v>81</v>
      </c>
      <c r="E34" s="227" t="s">
        <v>90</v>
      </c>
      <c r="F34" s="227" t="s">
        <v>104</v>
      </c>
      <c r="G34" s="62"/>
      <c r="H34" s="62" t="s">
        <v>98</v>
      </c>
      <c r="I34" s="63">
        <v>9</v>
      </c>
      <c r="J34" s="64">
        <f>IFERROR(K34*I34*VLOOKUP(C34,Mnu!$E$20:$F$37,2,FALSE)," ")</f>
        <v>450</v>
      </c>
      <c r="K34" s="228">
        <v>1</v>
      </c>
      <c r="L34" s="56"/>
    </row>
    <row r="35" spans="1:12" ht="14.25" customHeight="1">
      <c r="A35" s="99">
        <v>34</v>
      </c>
      <c r="B35" s="100" t="str">
        <f t="shared" si="0"/>
        <v>Conv-CFL-E27-1X-10W</v>
      </c>
      <c r="C35" s="225" t="s">
        <v>93</v>
      </c>
      <c r="D35" s="226" t="s">
        <v>81</v>
      </c>
      <c r="E35" s="227" t="s">
        <v>90</v>
      </c>
      <c r="F35" s="227" t="s">
        <v>104</v>
      </c>
      <c r="G35" s="62"/>
      <c r="H35" s="62" t="s">
        <v>98</v>
      </c>
      <c r="I35" s="63">
        <v>10</v>
      </c>
      <c r="J35" s="64">
        <f>IFERROR(K35*I35*VLOOKUP(C35,Mnu!$E$20:$F$37,2,FALSE)," ")</f>
        <v>500</v>
      </c>
      <c r="K35" s="228">
        <v>1</v>
      </c>
      <c r="L35" s="56"/>
    </row>
    <row r="36" spans="1:12" ht="14.25" customHeight="1">
      <c r="A36" s="99">
        <v>35</v>
      </c>
      <c r="B36" s="100" t="str">
        <f t="shared" si="0"/>
        <v>Conv-CFL-E27-1X-12W</v>
      </c>
      <c r="C36" s="225" t="s">
        <v>93</v>
      </c>
      <c r="D36" s="226" t="s">
        <v>81</v>
      </c>
      <c r="E36" s="227" t="s">
        <v>90</v>
      </c>
      <c r="F36" s="227" t="s">
        <v>104</v>
      </c>
      <c r="G36" s="62"/>
      <c r="H36" s="62" t="s">
        <v>98</v>
      </c>
      <c r="I36" s="63">
        <v>12</v>
      </c>
      <c r="J36" s="64">
        <f>IFERROR(K36*I36*VLOOKUP(C36,Mnu!$E$20:$F$37,2,FALSE)," ")</f>
        <v>600</v>
      </c>
      <c r="K36" s="228">
        <v>1</v>
      </c>
      <c r="L36" s="56"/>
    </row>
    <row r="37" spans="1:12" ht="14.25" customHeight="1">
      <c r="A37" s="99">
        <v>36</v>
      </c>
      <c r="B37" s="100" t="str">
        <f t="shared" si="0"/>
        <v>Conv-CFL-E27-1X-13W</v>
      </c>
      <c r="C37" s="225" t="s">
        <v>93</v>
      </c>
      <c r="D37" s="226" t="s">
        <v>81</v>
      </c>
      <c r="E37" s="227" t="s">
        <v>90</v>
      </c>
      <c r="F37" s="227" t="s">
        <v>104</v>
      </c>
      <c r="G37" s="62"/>
      <c r="H37" s="62" t="s">
        <v>98</v>
      </c>
      <c r="I37" s="63">
        <v>13</v>
      </c>
      <c r="J37" s="64">
        <f>IFERROR(K37*I37*VLOOKUP(C37,Mnu!$E$20:$F$37,2,FALSE)," ")</f>
        <v>650</v>
      </c>
      <c r="K37" s="228">
        <v>1</v>
      </c>
      <c r="L37" s="56"/>
    </row>
    <row r="38" spans="1:12" ht="14.25" customHeight="1">
      <c r="A38" s="99">
        <v>37</v>
      </c>
      <c r="B38" s="100" t="str">
        <f t="shared" si="0"/>
        <v>Conv-CFL-E27-1X-15W</v>
      </c>
      <c r="C38" s="225" t="s">
        <v>93</v>
      </c>
      <c r="D38" s="226" t="s">
        <v>81</v>
      </c>
      <c r="E38" s="227" t="s">
        <v>90</v>
      </c>
      <c r="F38" s="227" t="s">
        <v>104</v>
      </c>
      <c r="G38" s="62"/>
      <c r="H38" s="62" t="s">
        <v>98</v>
      </c>
      <c r="I38" s="63">
        <v>15</v>
      </c>
      <c r="J38" s="64">
        <f>IFERROR(K38*I38*VLOOKUP(C38,Mnu!$E$20:$F$37,2,FALSE)," ")</f>
        <v>750</v>
      </c>
      <c r="K38" s="228">
        <v>1</v>
      </c>
      <c r="L38" s="56"/>
    </row>
    <row r="39" spans="1:12" ht="14.25" customHeight="1">
      <c r="A39" s="99">
        <v>38</v>
      </c>
      <c r="B39" s="100" t="str">
        <f t="shared" si="0"/>
        <v>Conv-CFL-E27-1X-16W</v>
      </c>
      <c r="C39" s="225" t="s">
        <v>93</v>
      </c>
      <c r="D39" s="226" t="s">
        <v>81</v>
      </c>
      <c r="E39" s="227" t="s">
        <v>90</v>
      </c>
      <c r="F39" s="227" t="s">
        <v>104</v>
      </c>
      <c r="G39" s="62"/>
      <c r="H39" s="62" t="s">
        <v>98</v>
      </c>
      <c r="I39" s="63">
        <v>16</v>
      </c>
      <c r="J39" s="64">
        <f>IFERROR(K39*I39*VLOOKUP(C39,Mnu!$E$20:$F$37,2,FALSE)," ")</f>
        <v>800</v>
      </c>
      <c r="K39" s="228">
        <v>1</v>
      </c>
      <c r="L39" s="56"/>
    </row>
    <row r="40" spans="1:12" ht="14.25" customHeight="1">
      <c r="A40" s="99">
        <v>39</v>
      </c>
      <c r="B40" s="100" t="str">
        <f t="shared" si="0"/>
        <v>Conv-CFL-E27-1X-18W</v>
      </c>
      <c r="C40" s="225" t="s">
        <v>93</v>
      </c>
      <c r="D40" s="226" t="s">
        <v>81</v>
      </c>
      <c r="E40" s="227" t="s">
        <v>90</v>
      </c>
      <c r="F40" s="227" t="s">
        <v>104</v>
      </c>
      <c r="G40" s="62"/>
      <c r="H40" s="62" t="s">
        <v>98</v>
      </c>
      <c r="I40" s="63">
        <v>18</v>
      </c>
      <c r="J40" s="64">
        <f>IFERROR(K40*I40*VLOOKUP(C40,Mnu!$E$20:$F$37,2,FALSE)," ")</f>
        <v>900</v>
      </c>
      <c r="K40" s="228">
        <v>1</v>
      </c>
      <c r="L40" s="56"/>
    </row>
    <row r="41" spans="1:12" ht="14.25" customHeight="1">
      <c r="A41" s="99">
        <v>40</v>
      </c>
      <c r="B41" s="100" t="str">
        <f t="shared" si="0"/>
        <v>Conv-CFL-E27-1X-20W</v>
      </c>
      <c r="C41" s="225" t="s">
        <v>93</v>
      </c>
      <c r="D41" s="226" t="s">
        <v>81</v>
      </c>
      <c r="E41" s="227" t="s">
        <v>90</v>
      </c>
      <c r="F41" s="227" t="s">
        <v>104</v>
      </c>
      <c r="G41" s="62"/>
      <c r="H41" s="62" t="s">
        <v>98</v>
      </c>
      <c r="I41" s="63">
        <v>20</v>
      </c>
      <c r="J41" s="64">
        <f>IFERROR(K41*I41*VLOOKUP(C41,Mnu!$E$20:$F$37,2,FALSE)," ")</f>
        <v>1000</v>
      </c>
      <c r="K41" s="228">
        <v>1</v>
      </c>
      <c r="L41" s="56"/>
    </row>
    <row r="42" spans="1:12" ht="14.25" customHeight="1">
      <c r="A42" s="99">
        <v>41</v>
      </c>
      <c r="B42" s="100" t="str">
        <f t="shared" si="0"/>
        <v>Conv-CFL-E27-1X-23W</v>
      </c>
      <c r="C42" s="225" t="s">
        <v>93</v>
      </c>
      <c r="D42" s="226" t="s">
        <v>81</v>
      </c>
      <c r="E42" s="227" t="s">
        <v>90</v>
      </c>
      <c r="F42" s="227" t="s">
        <v>104</v>
      </c>
      <c r="G42" s="62"/>
      <c r="H42" s="62" t="s">
        <v>98</v>
      </c>
      <c r="I42" s="63">
        <v>23</v>
      </c>
      <c r="J42" s="64">
        <f>IFERROR(K42*I42*VLOOKUP(C42,Mnu!$E$20:$F$37,2,FALSE)," ")</f>
        <v>1150</v>
      </c>
      <c r="K42" s="228">
        <v>1</v>
      </c>
      <c r="L42" s="56"/>
    </row>
    <row r="43" spans="1:12" ht="14.25" customHeight="1">
      <c r="A43" s="99">
        <v>42</v>
      </c>
      <c r="B43" s="100" t="str">
        <f t="shared" si="0"/>
        <v>Conv-CFL-E27-1X-26W</v>
      </c>
      <c r="C43" s="225" t="s">
        <v>93</v>
      </c>
      <c r="D43" s="226" t="s">
        <v>81</v>
      </c>
      <c r="E43" s="227" t="s">
        <v>90</v>
      </c>
      <c r="F43" s="227" t="s">
        <v>104</v>
      </c>
      <c r="G43" s="62"/>
      <c r="H43" s="62" t="s">
        <v>98</v>
      </c>
      <c r="I43" s="63">
        <v>26</v>
      </c>
      <c r="J43" s="64">
        <f>IFERROR(K43*I43*VLOOKUP(C43,Mnu!$E$20:$F$37,2,FALSE)," ")</f>
        <v>1300</v>
      </c>
      <c r="K43" s="228">
        <v>1</v>
      </c>
      <c r="L43" s="56"/>
    </row>
    <row r="44" spans="1:12" ht="14.25" customHeight="1">
      <c r="A44" s="99">
        <v>43</v>
      </c>
      <c r="B44" s="100" t="str">
        <f t="shared" si="0"/>
        <v>Conv-CFL-E27-1X-30W</v>
      </c>
      <c r="C44" s="225" t="s">
        <v>93</v>
      </c>
      <c r="D44" s="226" t="s">
        <v>81</v>
      </c>
      <c r="E44" s="227" t="s">
        <v>90</v>
      </c>
      <c r="F44" s="227" t="s">
        <v>104</v>
      </c>
      <c r="G44" s="62"/>
      <c r="H44" s="62" t="s">
        <v>98</v>
      </c>
      <c r="I44" s="63">
        <v>30</v>
      </c>
      <c r="J44" s="64">
        <f>IFERROR(K44*I44*VLOOKUP(C44,Mnu!$E$20:$F$37,2,FALSE)," ")</f>
        <v>1500</v>
      </c>
      <c r="K44" s="228">
        <v>1</v>
      </c>
      <c r="L44" s="56"/>
    </row>
    <row r="45" spans="1:12" ht="14.25" customHeight="1">
      <c r="A45" s="99">
        <v>44</v>
      </c>
      <c r="B45" s="100" t="str">
        <f t="shared" si="0"/>
        <v>Conv-CFL-E27-1X-40W</v>
      </c>
      <c r="C45" s="225" t="s">
        <v>93</v>
      </c>
      <c r="D45" s="226" t="s">
        <v>81</v>
      </c>
      <c r="E45" s="227" t="s">
        <v>90</v>
      </c>
      <c r="F45" s="227" t="s">
        <v>104</v>
      </c>
      <c r="G45" s="62"/>
      <c r="H45" s="62" t="s">
        <v>98</v>
      </c>
      <c r="I45" s="63">
        <v>40</v>
      </c>
      <c r="J45" s="64">
        <f>IFERROR(K45*I45*VLOOKUP(C45,Mnu!$E$20:$F$37,2,FALSE)," ")</f>
        <v>2000</v>
      </c>
      <c r="K45" s="228">
        <v>1</v>
      </c>
      <c r="L45" s="56"/>
    </row>
    <row r="46" spans="1:12" ht="14.25" customHeight="1">
      <c r="A46" s="99">
        <v>45</v>
      </c>
      <c r="B46" s="100" t="str">
        <f t="shared" si="0"/>
        <v>Conv-CFL-E40-1X-42W</v>
      </c>
      <c r="C46" s="225" t="s">
        <v>93</v>
      </c>
      <c r="D46" s="226" t="s">
        <v>81</v>
      </c>
      <c r="E46" s="227" t="s">
        <v>90</v>
      </c>
      <c r="F46" s="227" t="s">
        <v>105</v>
      </c>
      <c r="G46" s="62"/>
      <c r="H46" s="62" t="s">
        <v>98</v>
      </c>
      <c r="I46" s="63">
        <v>42</v>
      </c>
      <c r="J46" s="64">
        <f>IFERROR(K46*I46*VLOOKUP(C46,Mnu!$E$20:$F$37,2,FALSE)," ")</f>
        <v>2100</v>
      </c>
      <c r="K46" s="228">
        <v>1</v>
      </c>
      <c r="L46" s="56"/>
    </row>
    <row r="47" spans="1:12" ht="14.25" customHeight="1">
      <c r="A47" s="99">
        <v>46</v>
      </c>
      <c r="B47" s="100" t="str">
        <f t="shared" si="0"/>
        <v>Conv-CFL-E40-1X-60W</v>
      </c>
      <c r="C47" s="225" t="s">
        <v>93</v>
      </c>
      <c r="D47" s="226" t="s">
        <v>81</v>
      </c>
      <c r="E47" s="227" t="s">
        <v>90</v>
      </c>
      <c r="F47" s="227" t="s">
        <v>105</v>
      </c>
      <c r="G47" s="62"/>
      <c r="H47" s="62" t="s">
        <v>98</v>
      </c>
      <c r="I47" s="63">
        <v>60</v>
      </c>
      <c r="J47" s="64">
        <f>IFERROR(K47*I47*VLOOKUP(C47,Mnu!$E$20:$F$37,2,FALSE)," ")</f>
        <v>3000</v>
      </c>
      <c r="K47" s="228">
        <v>1</v>
      </c>
      <c r="L47" s="56"/>
    </row>
    <row r="48" spans="1:12" ht="14.25" customHeight="1">
      <c r="A48" s="99">
        <v>47</v>
      </c>
      <c r="B48" s="100" t="str">
        <f t="shared" si="0"/>
        <v>Conv-CFL-E40-1X-65W</v>
      </c>
      <c r="C48" s="225" t="s">
        <v>93</v>
      </c>
      <c r="D48" s="226" t="s">
        <v>81</v>
      </c>
      <c r="E48" s="227" t="s">
        <v>90</v>
      </c>
      <c r="F48" s="227" t="s">
        <v>105</v>
      </c>
      <c r="G48" s="62"/>
      <c r="H48" s="62" t="s">
        <v>98</v>
      </c>
      <c r="I48" s="63">
        <v>65</v>
      </c>
      <c r="J48" s="64">
        <f>IFERROR(K48*I48*VLOOKUP(C48,Mnu!$E$20:$F$37,2,FALSE)," ")</f>
        <v>3250</v>
      </c>
      <c r="K48" s="228">
        <v>1</v>
      </c>
      <c r="L48" s="56"/>
    </row>
    <row r="49" spans="1:12" ht="14.25" customHeight="1">
      <c r="A49" s="99">
        <v>48</v>
      </c>
      <c r="B49" s="100" t="str">
        <f t="shared" si="0"/>
        <v>Conv-CFL-E40-1X-80W</v>
      </c>
      <c r="C49" s="225" t="s">
        <v>93</v>
      </c>
      <c r="D49" s="226" t="s">
        <v>81</v>
      </c>
      <c r="E49" s="227" t="s">
        <v>90</v>
      </c>
      <c r="F49" s="227" t="s">
        <v>105</v>
      </c>
      <c r="G49" s="62"/>
      <c r="H49" s="62" t="s">
        <v>98</v>
      </c>
      <c r="I49" s="63">
        <v>80</v>
      </c>
      <c r="J49" s="64">
        <f>IFERROR(K49*I49*VLOOKUP(C49,Mnu!$E$20:$F$37,2,FALSE)," ")</f>
        <v>4000</v>
      </c>
      <c r="K49" s="228">
        <v>1</v>
      </c>
      <c r="L49" s="56"/>
    </row>
    <row r="50" spans="1:12" ht="14.25" customHeight="1">
      <c r="A50" s="99">
        <v>49</v>
      </c>
      <c r="B50" s="100" t="str">
        <f t="shared" si="0"/>
        <v>Conv-CFL-2Pin-2X-23W</v>
      </c>
      <c r="C50" s="225" t="s">
        <v>93</v>
      </c>
      <c r="D50" s="226" t="s">
        <v>81</v>
      </c>
      <c r="E50" s="227" t="s">
        <v>90</v>
      </c>
      <c r="F50" s="227" t="s">
        <v>106</v>
      </c>
      <c r="G50" s="62"/>
      <c r="H50" s="62" t="s">
        <v>99</v>
      </c>
      <c r="I50" s="63">
        <v>23</v>
      </c>
      <c r="J50" s="64">
        <f>IFERROR(K50*I50*VLOOKUP(C50,Mnu!$E$20:$F$37,2,FALSE)," ")</f>
        <v>2300</v>
      </c>
      <c r="K50" s="228">
        <v>2</v>
      </c>
      <c r="L50" s="56"/>
    </row>
    <row r="51" spans="1:12" ht="14.25" customHeight="1">
      <c r="A51" s="99">
        <v>50</v>
      </c>
      <c r="B51" s="100" t="str">
        <f t="shared" si="0"/>
        <v>Conv-CFL-2Pin-2X-26W</v>
      </c>
      <c r="C51" s="225" t="s">
        <v>93</v>
      </c>
      <c r="D51" s="226" t="s">
        <v>81</v>
      </c>
      <c r="E51" s="227" t="s">
        <v>90</v>
      </c>
      <c r="F51" s="227" t="s">
        <v>106</v>
      </c>
      <c r="G51" s="62"/>
      <c r="H51" s="62" t="s">
        <v>99</v>
      </c>
      <c r="I51" s="63">
        <v>26</v>
      </c>
      <c r="J51" s="64">
        <f>IFERROR(K51*I51*VLOOKUP(C51,Mnu!$E$20:$F$37,2,FALSE)," ")</f>
        <v>2600</v>
      </c>
      <c r="K51" s="228">
        <v>2</v>
      </c>
      <c r="L51" s="56"/>
    </row>
    <row r="52" spans="1:12" ht="14.25" customHeight="1">
      <c r="A52" s="99">
        <v>51</v>
      </c>
      <c r="B52" s="100" t="str">
        <f t="shared" si="0"/>
        <v>Conv-Candle-E14-1X-20W</v>
      </c>
      <c r="C52" s="225" t="s">
        <v>107</v>
      </c>
      <c r="D52" s="226" t="s">
        <v>81</v>
      </c>
      <c r="E52" s="227" t="s">
        <v>90</v>
      </c>
      <c r="F52" s="227" t="s">
        <v>108</v>
      </c>
      <c r="G52" s="62"/>
      <c r="H52" s="62" t="s">
        <v>98</v>
      </c>
      <c r="I52" s="63">
        <v>20</v>
      </c>
      <c r="J52" s="64">
        <f>IFERROR(K52*I52*VLOOKUP(C52,Mnu!$E$20:$F$37,2,FALSE)," ")</f>
        <v>200</v>
      </c>
      <c r="K52" s="228">
        <v>1</v>
      </c>
      <c r="L52" s="56"/>
    </row>
    <row r="53" spans="1:12" ht="14.25" customHeight="1">
      <c r="A53" s="99">
        <v>52</v>
      </c>
      <c r="B53" s="100" t="str">
        <f t="shared" si="0"/>
        <v>Conv-Candle-E14-1X-40W</v>
      </c>
      <c r="C53" s="225" t="s">
        <v>107</v>
      </c>
      <c r="D53" s="226" t="s">
        <v>81</v>
      </c>
      <c r="E53" s="227" t="s">
        <v>90</v>
      </c>
      <c r="F53" s="227" t="s">
        <v>108</v>
      </c>
      <c r="G53" s="62"/>
      <c r="H53" s="62" t="s">
        <v>98</v>
      </c>
      <c r="I53" s="63">
        <v>40</v>
      </c>
      <c r="J53" s="64">
        <f>IFERROR(K53*I53*VLOOKUP(C53,Mnu!$E$20:$F$37,2,FALSE)," ")</f>
        <v>400</v>
      </c>
      <c r="K53" s="228">
        <v>1</v>
      </c>
      <c r="L53" s="56"/>
    </row>
    <row r="54" spans="1:12" ht="14.25" customHeight="1">
      <c r="A54" s="99">
        <v>53</v>
      </c>
      <c r="B54" s="100" t="str">
        <f t="shared" si="0"/>
        <v>Conv-MH-E40-1X-70W</v>
      </c>
      <c r="C54" s="225" t="s">
        <v>109</v>
      </c>
      <c r="D54" s="226" t="s">
        <v>81</v>
      </c>
      <c r="E54" s="227" t="s">
        <v>110</v>
      </c>
      <c r="F54" s="227" t="s">
        <v>105</v>
      </c>
      <c r="G54" s="62"/>
      <c r="H54" s="62" t="s">
        <v>98</v>
      </c>
      <c r="I54" s="63">
        <v>70</v>
      </c>
      <c r="J54" s="64">
        <f>IFERROR(K54*I54*VLOOKUP(C54,Mnu!$E$20:$F$37,2,FALSE)," ")</f>
        <v>3500</v>
      </c>
      <c r="K54" s="228">
        <v>1</v>
      </c>
      <c r="L54" s="56"/>
    </row>
    <row r="55" spans="1:12" ht="14.25" customHeight="1">
      <c r="A55" s="99">
        <v>54</v>
      </c>
      <c r="B55" s="100" t="str">
        <f t="shared" si="0"/>
        <v>Conv-MH-E40-1X-100W</v>
      </c>
      <c r="C55" s="225" t="s">
        <v>109</v>
      </c>
      <c r="D55" s="226" t="s">
        <v>81</v>
      </c>
      <c r="E55" s="227" t="s">
        <v>110</v>
      </c>
      <c r="F55" s="227" t="s">
        <v>105</v>
      </c>
      <c r="G55" s="62"/>
      <c r="H55" s="62" t="s">
        <v>98</v>
      </c>
      <c r="I55" s="63">
        <v>100</v>
      </c>
      <c r="J55" s="64">
        <f>IFERROR(K55*I55*VLOOKUP(C55,Mnu!$E$20:$F$37,2,FALSE)," ")</f>
        <v>5000</v>
      </c>
      <c r="K55" s="228">
        <v>1</v>
      </c>
      <c r="L55" s="56"/>
    </row>
    <row r="56" spans="1:12" ht="14.25" customHeight="1">
      <c r="A56" s="99">
        <v>55</v>
      </c>
      <c r="B56" s="100" t="str">
        <f t="shared" si="0"/>
        <v>Conv-MH-E40-1X-150W</v>
      </c>
      <c r="C56" s="225" t="s">
        <v>109</v>
      </c>
      <c r="D56" s="226" t="s">
        <v>81</v>
      </c>
      <c r="E56" s="227" t="s">
        <v>110</v>
      </c>
      <c r="F56" s="227" t="s">
        <v>105</v>
      </c>
      <c r="G56" s="62"/>
      <c r="H56" s="62" t="s">
        <v>98</v>
      </c>
      <c r="I56" s="63">
        <v>150</v>
      </c>
      <c r="J56" s="64">
        <f>IFERROR(K56*I56*VLOOKUP(C56,Mnu!$E$20:$F$37,2,FALSE)," ")</f>
        <v>7500</v>
      </c>
      <c r="K56" s="228">
        <v>1</v>
      </c>
      <c r="L56" s="56"/>
    </row>
    <row r="57" spans="1:12" ht="14.25" customHeight="1">
      <c r="A57" s="99">
        <v>56</v>
      </c>
      <c r="B57" s="100" t="str">
        <f t="shared" si="0"/>
        <v>Conv-MH-E40-1X-400W</v>
      </c>
      <c r="C57" s="225" t="s">
        <v>109</v>
      </c>
      <c r="D57" s="226" t="s">
        <v>81</v>
      </c>
      <c r="E57" s="227" t="s">
        <v>110</v>
      </c>
      <c r="F57" s="227" t="s">
        <v>105</v>
      </c>
      <c r="G57" s="62"/>
      <c r="H57" s="62" t="s">
        <v>98</v>
      </c>
      <c r="I57" s="63">
        <v>400</v>
      </c>
      <c r="J57" s="64">
        <f>IFERROR(K57*I57*VLOOKUP(C57,Mnu!$E$20:$F$37,2,FALSE)," ")</f>
        <v>20000</v>
      </c>
      <c r="K57" s="228">
        <v>1</v>
      </c>
      <c r="L57" s="56"/>
    </row>
    <row r="58" spans="1:12" ht="14.25" customHeight="1">
      <c r="A58" s="99">
        <v>57</v>
      </c>
      <c r="B58" s="100" t="str">
        <f t="shared" si="0"/>
        <v>Conv-MH-Flood Light-1X-70W</v>
      </c>
      <c r="C58" s="225" t="s">
        <v>109</v>
      </c>
      <c r="D58" s="226" t="s">
        <v>81</v>
      </c>
      <c r="E58" s="227" t="s">
        <v>110</v>
      </c>
      <c r="F58" s="227" t="s">
        <v>111</v>
      </c>
      <c r="G58" s="62"/>
      <c r="H58" s="62" t="s">
        <v>98</v>
      </c>
      <c r="I58" s="63">
        <v>70</v>
      </c>
      <c r="J58" s="64">
        <f>IFERROR(K58*I58*VLOOKUP(C58,Mnu!$E$20:$F$37,2,FALSE)," ")</f>
        <v>3500</v>
      </c>
      <c r="K58" s="228">
        <v>1</v>
      </c>
      <c r="L58" s="56"/>
    </row>
    <row r="59" spans="1:12" ht="14.25" customHeight="1">
      <c r="A59" s="99">
        <v>58</v>
      </c>
      <c r="B59" s="100" t="str">
        <f t="shared" si="0"/>
        <v>Conv-MH-Flood Light-1X-100W</v>
      </c>
      <c r="C59" s="225" t="s">
        <v>109</v>
      </c>
      <c r="D59" s="226" t="s">
        <v>81</v>
      </c>
      <c r="E59" s="227" t="s">
        <v>110</v>
      </c>
      <c r="F59" s="227" t="s">
        <v>111</v>
      </c>
      <c r="G59" s="62"/>
      <c r="H59" s="62" t="s">
        <v>98</v>
      </c>
      <c r="I59" s="63">
        <v>100</v>
      </c>
      <c r="J59" s="64">
        <f>IFERROR(K59*I59*VLOOKUP(C59,Mnu!$E$20:$F$37,2,FALSE)," ")</f>
        <v>5000</v>
      </c>
      <c r="K59" s="228">
        <v>1</v>
      </c>
      <c r="L59" s="56"/>
    </row>
    <row r="60" spans="1:12" ht="14.25" customHeight="1">
      <c r="A60" s="99">
        <v>59</v>
      </c>
      <c r="B60" s="100" t="str">
        <f t="shared" si="0"/>
        <v>Conv-MH-Flood Light-1X-400W</v>
      </c>
      <c r="C60" s="225" t="s">
        <v>109</v>
      </c>
      <c r="D60" s="226" t="s">
        <v>81</v>
      </c>
      <c r="E60" s="227" t="s">
        <v>110</v>
      </c>
      <c r="F60" s="227" t="s">
        <v>111</v>
      </c>
      <c r="G60" s="62"/>
      <c r="H60" s="62" t="s">
        <v>98</v>
      </c>
      <c r="I60" s="63">
        <v>400</v>
      </c>
      <c r="J60" s="64">
        <f>IFERROR(K60*I60*VLOOKUP(C60,Mnu!$E$20:$F$37,2,FALSE)," ")</f>
        <v>20000</v>
      </c>
      <c r="K60" s="228">
        <v>1</v>
      </c>
      <c r="L60" s="56"/>
    </row>
    <row r="61" spans="1:12" ht="14.25" customHeight="1">
      <c r="A61" s="99">
        <v>60</v>
      </c>
      <c r="B61" s="100" t="str">
        <f t="shared" si="0"/>
        <v>Conv-MH-Downlight-1X-70W</v>
      </c>
      <c r="C61" s="225" t="s">
        <v>109</v>
      </c>
      <c r="D61" s="226" t="s">
        <v>81</v>
      </c>
      <c r="E61" s="227" t="s">
        <v>90</v>
      </c>
      <c r="F61" s="227" t="s">
        <v>112</v>
      </c>
      <c r="G61" s="62"/>
      <c r="H61" s="62" t="s">
        <v>98</v>
      </c>
      <c r="I61" s="63">
        <v>70</v>
      </c>
      <c r="J61" s="64">
        <f>IFERROR(K61*I61*VLOOKUP(C61,Mnu!$E$20:$F$37,2,FALSE)," ")</f>
        <v>3500</v>
      </c>
      <c r="K61" s="228">
        <v>1</v>
      </c>
      <c r="L61" s="56"/>
    </row>
    <row r="62" spans="1:12" ht="14.25" customHeight="1">
      <c r="A62" s="99">
        <v>61</v>
      </c>
      <c r="B62" s="100" t="str">
        <f t="shared" si="0"/>
        <v>Conv-MH-Down Light-1X-150W</v>
      </c>
      <c r="C62" s="225" t="s">
        <v>109</v>
      </c>
      <c r="D62" s="226" t="s">
        <v>81</v>
      </c>
      <c r="E62" s="227" t="s">
        <v>90</v>
      </c>
      <c r="F62" s="227" t="s">
        <v>113</v>
      </c>
      <c r="G62" s="62"/>
      <c r="H62" s="62" t="s">
        <v>98</v>
      </c>
      <c r="I62" s="63">
        <v>150</v>
      </c>
      <c r="J62" s="64">
        <f>IFERROR(K62*I62*VLOOKUP(C62,Mnu!$E$20:$F$37,2,FALSE)," ")</f>
        <v>7500</v>
      </c>
      <c r="K62" s="228">
        <v>1</v>
      </c>
      <c r="L62" s="56"/>
    </row>
    <row r="63" spans="1:12" ht="14.25" customHeight="1">
      <c r="A63" s="99">
        <v>62</v>
      </c>
      <c r="B63" s="100" t="str">
        <f t="shared" si="0"/>
        <v>Conv-MV-E40-1X-70W</v>
      </c>
      <c r="C63" s="225" t="s">
        <v>114</v>
      </c>
      <c r="D63" s="226" t="s">
        <v>81</v>
      </c>
      <c r="E63" s="227" t="s">
        <v>110</v>
      </c>
      <c r="F63" s="227" t="s">
        <v>105</v>
      </c>
      <c r="G63" s="62"/>
      <c r="H63" s="62" t="s">
        <v>98</v>
      </c>
      <c r="I63" s="63">
        <v>70</v>
      </c>
      <c r="J63" s="64">
        <f>IFERROR(K63*I63*VLOOKUP(C63,Mnu!$E$20:$F$37,2,FALSE)," ")</f>
        <v>2450</v>
      </c>
      <c r="K63" s="228">
        <v>1</v>
      </c>
      <c r="L63" s="56"/>
    </row>
    <row r="64" spans="1:12" ht="14.25" customHeight="1">
      <c r="A64" s="99">
        <v>63</v>
      </c>
      <c r="B64" s="100" t="str">
        <f t="shared" si="0"/>
        <v>Conv-MV-E40-1X-80W</v>
      </c>
      <c r="C64" s="225" t="s">
        <v>114</v>
      </c>
      <c r="D64" s="226" t="s">
        <v>81</v>
      </c>
      <c r="E64" s="227" t="s">
        <v>110</v>
      </c>
      <c r="F64" s="227" t="s">
        <v>105</v>
      </c>
      <c r="G64" s="62"/>
      <c r="H64" s="62" t="s">
        <v>98</v>
      </c>
      <c r="I64" s="63">
        <v>80</v>
      </c>
      <c r="J64" s="64">
        <f>IFERROR(K64*I64*VLOOKUP(C64,Mnu!$E$20:$F$37,2,FALSE)," ")</f>
        <v>2800</v>
      </c>
      <c r="K64" s="228">
        <v>1</v>
      </c>
      <c r="L64" s="56"/>
    </row>
    <row r="65" spans="1:12" ht="14.25" customHeight="1">
      <c r="A65" s="99">
        <v>64</v>
      </c>
      <c r="B65" s="100" t="str">
        <f t="shared" si="0"/>
        <v>Conv-MV-E40-1X-175W</v>
      </c>
      <c r="C65" s="225" t="s">
        <v>114</v>
      </c>
      <c r="D65" s="226" t="s">
        <v>81</v>
      </c>
      <c r="E65" s="227" t="s">
        <v>110</v>
      </c>
      <c r="F65" s="227" t="s">
        <v>105</v>
      </c>
      <c r="G65" s="62"/>
      <c r="H65" s="62" t="s">
        <v>98</v>
      </c>
      <c r="I65" s="63">
        <v>175</v>
      </c>
      <c r="J65" s="64">
        <f>IFERROR(K65*I65*VLOOKUP(C65,Mnu!$E$20:$F$37,2,FALSE)," ")</f>
        <v>6125</v>
      </c>
      <c r="K65" s="228">
        <v>1</v>
      </c>
      <c r="L65" s="56"/>
    </row>
    <row r="66" spans="1:12" ht="14.25" customHeight="1">
      <c r="A66" s="99">
        <v>65</v>
      </c>
      <c r="B66" s="100" t="str">
        <f t="shared" si="0"/>
        <v>Conv-MV-Flood Light-1X-80W</v>
      </c>
      <c r="C66" s="225" t="s">
        <v>114</v>
      </c>
      <c r="D66" s="226" t="s">
        <v>81</v>
      </c>
      <c r="E66" s="227" t="s">
        <v>110</v>
      </c>
      <c r="F66" s="227" t="s">
        <v>111</v>
      </c>
      <c r="G66" s="62"/>
      <c r="H66" s="62" t="s">
        <v>98</v>
      </c>
      <c r="I66" s="63">
        <v>80</v>
      </c>
      <c r="J66" s="64">
        <f>IFERROR(K66*I66*VLOOKUP(C66,Mnu!$E$20:$F$37,2,FALSE)," ")</f>
        <v>2800</v>
      </c>
      <c r="K66" s="228">
        <v>1</v>
      </c>
      <c r="L66" s="56"/>
    </row>
    <row r="67" spans="1:12" ht="14.25" customHeight="1">
      <c r="A67" s="99">
        <v>66</v>
      </c>
      <c r="B67" s="100" t="str">
        <f t="shared" ref="B67:B130" si="1">IF(C67="","",IF(D67="Conv",IFERROR(D67&amp;"-"&amp;C67&amp;"-"&amp;F67&amp;"-"&amp;G67&amp;""&amp;H67&amp;"-"&amp;I67&amp;"W",""),IFERROR(C67&amp;"-"&amp;F67&amp;"-"&amp;G67&amp;""&amp;H67&amp;"-"&amp;I67&amp;"W","")))</f>
        <v>Conv-MV-Flood Light-1X-250W</v>
      </c>
      <c r="C67" s="225" t="s">
        <v>114</v>
      </c>
      <c r="D67" s="226" t="s">
        <v>81</v>
      </c>
      <c r="E67" s="227" t="s">
        <v>110</v>
      </c>
      <c r="F67" s="227" t="s">
        <v>111</v>
      </c>
      <c r="G67" s="62"/>
      <c r="H67" s="62" t="s">
        <v>98</v>
      </c>
      <c r="I67" s="63">
        <v>250</v>
      </c>
      <c r="J67" s="64">
        <f>IFERROR(K67*I67*VLOOKUP(C67,Mnu!$E$20:$F$37,2,FALSE)," ")</f>
        <v>8750</v>
      </c>
      <c r="K67" s="228">
        <v>1</v>
      </c>
      <c r="L67" s="56"/>
    </row>
    <row r="68" spans="1:12" ht="14.25" customHeight="1">
      <c r="A68" s="99">
        <v>67</v>
      </c>
      <c r="B68" s="100" t="str">
        <f t="shared" si="1"/>
        <v>Conv-MV-Flood Light-1X-400W</v>
      </c>
      <c r="C68" s="225" t="s">
        <v>114</v>
      </c>
      <c r="D68" s="226" t="s">
        <v>81</v>
      </c>
      <c r="E68" s="227" t="s">
        <v>110</v>
      </c>
      <c r="F68" s="227" t="s">
        <v>111</v>
      </c>
      <c r="G68" s="62"/>
      <c r="H68" s="62" t="s">
        <v>98</v>
      </c>
      <c r="I68" s="63">
        <v>400</v>
      </c>
      <c r="J68" s="64">
        <f>IFERROR(K68*I68*VLOOKUP(C68,Mnu!$E$20:$F$37,2,FALSE)," ")</f>
        <v>14000</v>
      </c>
      <c r="K68" s="228">
        <v>1</v>
      </c>
      <c r="L68" s="56"/>
    </row>
    <row r="69" spans="1:12" ht="14.25" customHeight="1">
      <c r="A69" s="99">
        <v>68</v>
      </c>
      <c r="B69" s="100" t="str">
        <f t="shared" si="1"/>
        <v>Conv-MV-E40-1X-175W</v>
      </c>
      <c r="C69" s="225" t="s">
        <v>114</v>
      </c>
      <c r="D69" s="226" t="s">
        <v>81</v>
      </c>
      <c r="E69" s="227" t="s">
        <v>110</v>
      </c>
      <c r="F69" s="227" t="s">
        <v>105</v>
      </c>
      <c r="G69" s="62"/>
      <c r="H69" s="62" t="s">
        <v>98</v>
      </c>
      <c r="I69" s="63">
        <v>175</v>
      </c>
      <c r="J69" s="64">
        <f>IFERROR(K69*I69*VLOOKUP(C69,Mnu!$E$20:$F$37,2,FALSE)," ")</f>
        <v>6125</v>
      </c>
      <c r="K69" s="228">
        <v>1</v>
      </c>
      <c r="L69" s="56"/>
    </row>
    <row r="70" spans="1:12" ht="14.25" customHeight="1">
      <c r="A70" s="99">
        <v>69</v>
      </c>
      <c r="B70" s="100" t="str">
        <f t="shared" si="1"/>
        <v>Conv-Incandescent-E27-1X-40W</v>
      </c>
      <c r="C70" s="225" t="s">
        <v>145</v>
      </c>
      <c r="D70" s="226" t="s">
        <v>81</v>
      </c>
      <c r="E70" s="227" t="s">
        <v>90</v>
      </c>
      <c r="F70" s="227" t="s">
        <v>104</v>
      </c>
      <c r="G70" s="62"/>
      <c r="H70" s="62" t="s">
        <v>98</v>
      </c>
      <c r="I70" s="63">
        <v>40</v>
      </c>
      <c r="J70" s="64">
        <f>IFERROR(K70*I70*VLOOKUP(C70,Mnu!$E$20:$F$37,2,FALSE)," ")</f>
        <v>400</v>
      </c>
      <c r="K70" s="228">
        <v>1</v>
      </c>
      <c r="L70" s="56"/>
    </row>
    <row r="71" spans="1:12" ht="14.25" customHeight="1">
      <c r="A71" s="99">
        <v>70</v>
      </c>
      <c r="B71" s="100" t="str">
        <f t="shared" si="1"/>
        <v>Conv-Incandescent-E27-1X-60W</v>
      </c>
      <c r="C71" s="225" t="s">
        <v>145</v>
      </c>
      <c r="D71" s="226" t="s">
        <v>81</v>
      </c>
      <c r="E71" s="227" t="s">
        <v>90</v>
      </c>
      <c r="F71" s="227" t="s">
        <v>104</v>
      </c>
      <c r="G71" s="62"/>
      <c r="H71" s="62" t="s">
        <v>98</v>
      </c>
      <c r="I71" s="63">
        <v>60</v>
      </c>
      <c r="J71" s="64">
        <f>IFERROR(K71*I71*VLOOKUP(C71,Mnu!$E$20:$F$37,2,FALSE)," ")</f>
        <v>600</v>
      </c>
      <c r="K71" s="228">
        <v>1</v>
      </c>
      <c r="L71" s="56"/>
    </row>
    <row r="72" spans="1:12" ht="14.25" customHeight="1">
      <c r="A72" s="99">
        <v>71</v>
      </c>
      <c r="B72" s="100" t="str">
        <f t="shared" si="1"/>
        <v>Conv-Incandescent-E27-1X-100W</v>
      </c>
      <c r="C72" s="225" t="s">
        <v>145</v>
      </c>
      <c r="D72" s="226" t="s">
        <v>81</v>
      </c>
      <c r="E72" s="227" t="s">
        <v>90</v>
      </c>
      <c r="F72" s="227" t="s">
        <v>104</v>
      </c>
      <c r="G72" s="62"/>
      <c r="H72" s="62" t="s">
        <v>98</v>
      </c>
      <c r="I72" s="63">
        <v>100</v>
      </c>
      <c r="J72" s="64">
        <f>IFERROR(K72*I72*VLOOKUP(C72,Mnu!$E$20:$F$37,2,FALSE)," ")</f>
        <v>1000</v>
      </c>
      <c r="K72" s="228">
        <v>1</v>
      </c>
      <c r="L72" s="56"/>
    </row>
    <row r="73" spans="1:12" ht="14.25" customHeight="1">
      <c r="A73" s="99">
        <v>72</v>
      </c>
      <c r="B73" s="100" t="str">
        <f t="shared" si="1"/>
        <v>Conv-Halogen-Spot Light-1X-25W</v>
      </c>
      <c r="C73" s="225" t="s">
        <v>142</v>
      </c>
      <c r="D73" s="226" t="s">
        <v>81</v>
      </c>
      <c r="E73" s="227" t="s">
        <v>90</v>
      </c>
      <c r="F73" s="227" t="s">
        <v>115</v>
      </c>
      <c r="G73" s="62"/>
      <c r="H73" s="62" t="s">
        <v>98</v>
      </c>
      <c r="I73" s="63">
        <v>25</v>
      </c>
      <c r="J73" s="64">
        <f>IFERROR(K73*I73*VLOOKUP(C73,Mnu!$E$20:$F$37,2,FALSE)," ")</f>
        <v>250</v>
      </c>
      <c r="K73" s="228">
        <v>1</v>
      </c>
      <c r="L73" s="56"/>
    </row>
    <row r="74" spans="1:12" ht="14.25" customHeight="1">
      <c r="A74" s="99">
        <v>73</v>
      </c>
      <c r="B74" s="100" t="str">
        <f t="shared" si="1"/>
        <v>Conv-Halogen-Spot Light-1X-40W</v>
      </c>
      <c r="C74" s="225" t="s">
        <v>142</v>
      </c>
      <c r="D74" s="226" t="s">
        <v>81</v>
      </c>
      <c r="E74" s="227" t="s">
        <v>90</v>
      </c>
      <c r="F74" s="227" t="s">
        <v>115</v>
      </c>
      <c r="G74" s="62"/>
      <c r="H74" s="62" t="s">
        <v>98</v>
      </c>
      <c r="I74" s="63">
        <v>40</v>
      </c>
      <c r="J74" s="64">
        <f>IFERROR(K74*I74*VLOOKUP(C74,Mnu!$E$20:$F$37,2,FALSE)," ")</f>
        <v>400</v>
      </c>
      <c r="K74" s="228">
        <v>1</v>
      </c>
      <c r="L74" s="56"/>
    </row>
    <row r="75" spans="1:12" ht="14.25" customHeight="1">
      <c r="A75" s="99">
        <v>74</v>
      </c>
      <c r="B75" s="100" t="str">
        <f t="shared" si="1"/>
        <v>Conv-Halogen-Spot Light-1X-50W</v>
      </c>
      <c r="C75" s="225" t="s">
        <v>142</v>
      </c>
      <c r="D75" s="226" t="s">
        <v>81</v>
      </c>
      <c r="E75" s="227" t="s">
        <v>90</v>
      </c>
      <c r="F75" s="227" t="s">
        <v>115</v>
      </c>
      <c r="G75" s="62"/>
      <c r="H75" s="62" t="s">
        <v>98</v>
      </c>
      <c r="I75" s="63">
        <v>50</v>
      </c>
      <c r="J75" s="64">
        <f>IFERROR(K75*I75*VLOOKUP(C75,Mnu!$E$20:$F$37,2,FALSE)," ")</f>
        <v>500</v>
      </c>
      <c r="K75" s="228">
        <v>1</v>
      </c>
      <c r="L75" s="56"/>
    </row>
    <row r="76" spans="1:12" ht="14.25" customHeight="1">
      <c r="A76" s="99">
        <v>75</v>
      </c>
      <c r="B76" s="100" t="str">
        <f t="shared" si="1"/>
        <v>Conv-Halogen-Flood Light-1X-100W</v>
      </c>
      <c r="C76" s="225" t="s">
        <v>142</v>
      </c>
      <c r="D76" s="226" t="s">
        <v>81</v>
      </c>
      <c r="E76" s="227" t="s">
        <v>110</v>
      </c>
      <c r="F76" s="227" t="s">
        <v>111</v>
      </c>
      <c r="G76" s="62"/>
      <c r="H76" s="62" t="s">
        <v>98</v>
      </c>
      <c r="I76" s="63">
        <v>100</v>
      </c>
      <c r="J76" s="64">
        <f>IFERROR(K76*I76*VLOOKUP(C76,Mnu!$E$20:$F$37,2,FALSE)," ")</f>
        <v>1000</v>
      </c>
      <c r="K76" s="228">
        <v>1</v>
      </c>
      <c r="L76" s="56"/>
    </row>
    <row r="77" spans="1:12" ht="14.25" customHeight="1">
      <c r="A77" s="99">
        <v>76</v>
      </c>
      <c r="B77" s="100" t="str">
        <f t="shared" si="1"/>
        <v>Conv-Halogen-Flood Light-1X-150W</v>
      </c>
      <c r="C77" s="225" t="s">
        <v>142</v>
      </c>
      <c r="D77" s="226" t="s">
        <v>81</v>
      </c>
      <c r="E77" s="227" t="s">
        <v>110</v>
      </c>
      <c r="F77" s="227" t="s">
        <v>111</v>
      </c>
      <c r="G77" s="62"/>
      <c r="H77" s="62" t="s">
        <v>98</v>
      </c>
      <c r="I77" s="63">
        <v>150</v>
      </c>
      <c r="J77" s="64">
        <f>IFERROR(K77*I77*VLOOKUP(C77,Mnu!$E$20:$F$37,2,FALSE)," ")</f>
        <v>1500</v>
      </c>
      <c r="K77" s="228">
        <v>1</v>
      </c>
      <c r="L77" s="56"/>
    </row>
    <row r="78" spans="1:12" ht="14.25" customHeight="1">
      <c r="A78" s="99">
        <v>77</v>
      </c>
      <c r="B78" s="100" t="str">
        <f t="shared" si="1"/>
        <v>Conv-Halogen-Flood Light-1X-200W</v>
      </c>
      <c r="C78" s="225" t="s">
        <v>142</v>
      </c>
      <c r="D78" s="226" t="s">
        <v>81</v>
      </c>
      <c r="E78" s="227" t="s">
        <v>110</v>
      </c>
      <c r="F78" s="227" t="s">
        <v>111</v>
      </c>
      <c r="G78" s="62"/>
      <c r="H78" s="62" t="s">
        <v>98</v>
      </c>
      <c r="I78" s="63">
        <v>200</v>
      </c>
      <c r="J78" s="64">
        <f>IFERROR(K78*I78*VLOOKUP(C78,Mnu!$E$20:$F$37,2,FALSE)," ")</f>
        <v>2000</v>
      </c>
      <c r="K78" s="228">
        <v>1</v>
      </c>
      <c r="L78" s="56"/>
    </row>
    <row r="79" spans="1:12" ht="14.25" customHeight="1">
      <c r="A79" s="99">
        <v>78</v>
      </c>
      <c r="B79" s="100" t="str">
        <f t="shared" si="1"/>
        <v>Conv-Halogen-Flood Light-1X-250W</v>
      </c>
      <c r="C79" s="225" t="s">
        <v>142</v>
      </c>
      <c r="D79" s="226" t="s">
        <v>81</v>
      </c>
      <c r="E79" s="227" t="s">
        <v>110</v>
      </c>
      <c r="F79" s="227" t="s">
        <v>111</v>
      </c>
      <c r="G79" s="62"/>
      <c r="H79" s="62" t="s">
        <v>98</v>
      </c>
      <c r="I79" s="63">
        <v>250</v>
      </c>
      <c r="J79" s="64">
        <f>IFERROR(K79*I79*VLOOKUP(C79,Mnu!$E$20:$F$37,2,FALSE)," ")</f>
        <v>2500</v>
      </c>
      <c r="K79" s="228">
        <v>1</v>
      </c>
      <c r="L79" s="56"/>
    </row>
    <row r="80" spans="1:12" ht="14.25" customHeight="1">
      <c r="A80" s="99">
        <v>79</v>
      </c>
      <c r="B80" s="100" t="str">
        <f t="shared" si="1"/>
        <v>Conv-Halogen-Flood Light-1X-300W</v>
      </c>
      <c r="C80" s="225" t="s">
        <v>142</v>
      </c>
      <c r="D80" s="226" t="s">
        <v>81</v>
      </c>
      <c r="E80" s="227" t="s">
        <v>110</v>
      </c>
      <c r="F80" s="227" t="s">
        <v>111</v>
      </c>
      <c r="G80" s="62"/>
      <c r="H80" s="62" t="s">
        <v>98</v>
      </c>
      <c r="I80" s="63">
        <v>300</v>
      </c>
      <c r="J80" s="64">
        <f>IFERROR(K80*I80*VLOOKUP(C80,Mnu!$E$20:$F$37,2,FALSE)," ")</f>
        <v>3000</v>
      </c>
      <c r="K80" s="228">
        <v>1</v>
      </c>
      <c r="L80" s="56"/>
    </row>
    <row r="81" spans="1:12" ht="14.25" customHeight="1">
      <c r="A81" s="99">
        <v>80</v>
      </c>
      <c r="B81" s="100" t="str">
        <f t="shared" si="1"/>
        <v>Conv-Halogen-Flood Light-1X-400W</v>
      </c>
      <c r="C81" s="225" t="s">
        <v>142</v>
      </c>
      <c r="D81" s="226" t="s">
        <v>81</v>
      </c>
      <c r="E81" s="227" t="s">
        <v>110</v>
      </c>
      <c r="F81" s="227" t="s">
        <v>111</v>
      </c>
      <c r="G81" s="62"/>
      <c r="H81" s="62" t="s">
        <v>98</v>
      </c>
      <c r="I81" s="63">
        <v>400</v>
      </c>
      <c r="J81" s="64">
        <f>IFERROR(K81*I81*VLOOKUP(C81,Mnu!$E$20:$F$37,2,FALSE)," ")</f>
        <v>4000</v>
      </c>
      <c r="K81" s="228">
        <v>1</v>
      </c>
      <c r="L81" s="56"/>
    </row>
    <row r="82" spans="1:12" ht="14.25" customHeight="1">
      <c r="A82" s="99">
        <v>81</v>
      </c>
      <c r="B82" s="100" t="str">
        <f t="shared" si="1"/>
        <v>Conv-Halogen-Flood Light-1X-500W</v>
      </c>
      <c r="C82" s="225" t="s">
        <v>142</v>
      </c>
      <c r="D82" s="226" t="s">
        <v>81</v>
      </c>
      <c r="E82" s="227" t="s">
        <v>110</v>
      </c>
      <c r="F82" s="227" t="s">
        <v>111</v>
      </c>
      <c r="G82" s="62"/>
      <c r="H82" s="62" t="s">
        <v>98</v>
      </c>
      <c r="I82" s="63">
        <v>500</v>
      </c>
      <c r="J82" s="64">
        <f>IFERROR(K82*I82*VLOOKUP(C82,Mnu!$E$20:$F$37,2,FALSE)," ")</f>
        <v>5000</v>
      </c>
      <c r="K82" s="228">
        <v>1</v>
      </c>
      <c r="L82" s="56"/>
    </row>
    <row r="83" spans="1:12" ht="14.25" customHeight="1">
      <c r="A83" s="99">
        <v>82</v>
      </c>
      <c r="B83" s="100" t="str">
        <f t="shared" si="1"/>
        <v>Conv-Halogen-Flood Light-1X-600W</v>
      </c>
      <c r="C83" s="225" t="s">
        <v>142</v>
      </c>
      <c r="D83" s="226" t="s">
        <v>81</v>
      </c>
      <c r="E83" s="227" t="s">
        <v>110</v>
      </c>
      <c r="F83" s="227" t="s">
        <v>111</v>
      </c>
      <c r="G83" s="62"/>
      <c r="H83" s="62" t="s">
        <v>98</v>
      </c>
      <c r="I83" s="63">
        <v>600</v>
      </c>
      <c r="J83" s="64">
        <f>IFERROR(K83*I83*VLOOKUP(C83,Mnu!$E$20:$F$37,2,FALSE)," ")</f>
        <v>6000</v>
      </c>
      <c r="K83" s="228">
        <v>1</v>
      </c>
      <c r="L83" s="56"/>
    </row>
    <row r="84" spans="1:12" ht="14.25" customHeight="1">
      <c r="A84" s="99">
        <v>83</v>
      </c>
      <c r="B84" s="100" t="str">
        <f t="shared" si="1"/>
        <v>Conv-Halogen-Flood Light-1X-1500W</v>
      </c>
      <c r="C84" s="225" t="s">
        <v>142</v>
      </c>
      <c r="D84" s="226" t="s">
        <v>81</v>
      </c>
      <c r="E84" s="227" t="s">
        <v>110</v>
      </c>
      <c r="F84" s="227" t="s">
        <v>111</v>
      </c>
      <c r="G84" s="62"/>
      <c r="H84" s="62" t="s">
        <v>98</v>
      </c>
      <c r="I84" s="63">
        <v>1500</v>
      </c>
      <c r="J84" s="64">
        <f>IFERROR(K84*I84*VLOOKUP(C84,Mnu!$E$20:$F$37,2,FALSE)," ")</f>
        <v>15000</v>
      </c>
      <c r="K84" s="228">
        <v>1</v>
      </c>
      <c r="L84" s="56"/>
    </row>
    <row r="85" spans="1:12" ht="14.25" customHeight="1">
      <c r="A85" s="99">
        <v>84</v>
      </c>
      <c r="B85" s="100" t="str">
        <f t="shared" si="1"/>
        <v>Conv-Halogen-Flood Light-1X-2000W</v>
      </c>
      <c r="C85" s="225" t="s">
        <v>142</v>
      </c>
      <c r="D85" s="226" t="s">
        <v>81</v>
      </c>
      <c r="E85" s="227" t="s">
        <v>110</v>
      </c>
      <c r="F85" s="227" t="s">
        <v>111</v>
      </c>
      <c r="G85" s="62"/>
      <c r="H85" s="62" t="s">
        <v>98</v>
      </c>
      <c r="I85" s="63">
        <v>2000</v>
      </c>
      <c r="J85" s="64">
        <f>IFERROR(K85*I85*VLOOKUP(C85,Mnu!$E$20:$F$37,2,FALSE)," ")</f>
        <v>20000</v>
      </c>
      <c r="K85" s="228">
        <v>1</v>
      </c>
      <c r="L85" s="56"/>
    </row>
    <row r="86" spans="1:12" ht="14.25" customHeight="1">
      <c r="A86" s="99">
        <v>85</v>
      </c>
      <c r="B86" s="100" t="str">
        <f t="shared" si="1"/>
        <v>Conv-HPS-Flood Light-1X-100W</v>
      </c>
      <c r="C86" s="225" t="s">
        <v>116</v>
      </c>
      <c r="D86" s="226" t="s">
        <v>81</v>
      </c>
      <c r="E86" s="227" t="s">
        <v>110</v>
      </c>
      <c r="F86" s="227" t="s">
        <v>111</v>
      </c>
      <c r="G86" s="62"/>
      <c r="H86" s="62" t="s">
        <v>98</v>
      </c>
      <c r="I86" s="63">
        <v>100</v>
      </c>
      <c r="J86" s="64">
        <f>IFERROR(K86*I86*VLOOKUP(C86,Mnu!$E$20:$F$37,2,FALSE)," ")</f>
        <v>5000</v>
      </c>
      <c r="K86" s="228">
        <v>1</v>
      </c>
      <c r="L86" s="56"/>
    </row>
    <row r="87" spans="1:12" ht="14.25" customHeight="1">
      <c r="A87" s="99">
        <v>86</v>
      </c>
      <c r="B87" s="100" t="str">
        <f t="shared" si="1"/>
        <v>Conv-HPS-Flood Light-1X-150W</v>
      </c>
      <c r="C87" s="225" t="s">
        <v>116</v>
      </c>
      <c r="D87" s="226" t="s">
        <v>81</v>
      </c>
      <c r="E87" s="227" t="s">
        <v>110</v>
      </c>
      <c r="F87" s="227" t="s">
        <v>111</v>
      </c>
      <c r="G87" s="62"/>
      <c r="H87" s="62" t="s">
        <v>98</v>
      </c>
      <c r="I87" s="63">
        <v>150</v>
      </c>
      <c r="J87" s="64">
        <f>IFERROR(K87*I87*VLOOKUP(C87,Mnu!$E$20:$F$37,2,FALSE)," ")</f>
        <v>7500</v>
      </c>
      <c r="K87" s="228">
        <v>1</v>
      </c>
      <c r="L87" s="56"/>
    </row>
    <row r="88" spans="1:12" ht="14.25" customHeight="1">
      <c r="A88" s="99">
        <v>87</v>
      </c>
      <c r="B88" s="100" t="str">
        <f t="shared" si="1"/>
        <v>Conv-HPS-Flood Light-1X-250W</v>
      </c>
      <c r="C88" s="225" t="s">
        <v>116</v>
      </c>
      <c r="D88" s="226" t="s">
        <v>81</v>
      </c>
      <c r="E88" s="227" t="s">
        <v>110</v>
      </c>
      <c r="F88" s="227" t="s">
        <v>111</v>
      </c>
      <c r="G88" s="62"/>
      <c r="H88" s="62" t="s">
        <v>98</v>
      </c>
      <c r="I88" s="63">
        <v>250</v>
      </c>
      <c r="J88" s="64">
        <f>IFERROR(K88*I88*VLOOKUP(C88,Mnu!$E$20:$F$37,2,FALSE)," ")</f>
        <v>12500</v>
      </c>
      <c r="K88" s="228">
        <v>1</v>
      </c>
      <c r="L88" s="56"/>
    </row>
    <row r="89" spans="1:12" ht="14.25" customHeight="1">
      <c r="A89" s="99">
        <v>88</v>
      </c>
      <c r="B89" s="100" t="str">
        <f t="shared" si="1"/>
        <v>Conv-HPS-Flood Light-1X-400W</v>
      </c>
      <c r="C89" s="225" t="s">
        <v>116</v>
      </c>
      <c r="D89" s="226" t="s">
        <v>81</v>
      </c>
      <c r="E89" s="227" t="s">
        <v>110</v>
      </c>
      <c r="F89" s="227" t="s">
        <v>111</v>
      </c>
      <c r="G89" s="62"/>
      <c r="H89" s="62" t="s">
        <v>98</v>
      </c>
      <c r="I89" s="63">
        <v>400</v>
      </c>
      <c r="J89" s="64">
        <f>IFERROR(K89*I89*VLOOKUP(C89,Mnu!$E$20:$F$37,2,FALSE)," ")</f>
        <v>20000</v>
      </c>
      <c r="K89" s="228">
        <v>1</v>
      </c>
      <c r="L89" s="56"/>
    </row>
    <row r="90" spans="1:12" ht="14.25" customHeight="1">
      <c r="A90" s="99">
        <v>89</v>
      </c>
      <c r="B90" s="100" t="str">
        <f t="shared" si="1"/>
        <v>Conv-HPS-Flood Light-1X-1000W</v>
      </c>
      <c r="C90" s="225" t="s">
        <v>116</v>
      </c>
      <c r="D90" s="226" t="s">
        <v>81</v>
      </c>
      <c r="E90" s="227" t="s">
        <v>110</v>
      </c>
      <c r="F90" s="227" t="s">
        <v>111</v>
      </c>
      <c r="G90" s="62"/>
      <c r="H90" s="62" t="s">
        <v>98</v>
      </c>
      <c r="I90" s="63">
        <v>1000</v>
      </c>
      <c r="J90" s="64">
        <f>IFERROR(K90*I90*VLOOKUP(C90,Mnu!$E$20:$F$37,2,FALSE)," ")</f>
        <v>50000</v>
      </c>
      <c r="K90" s="228">
        <v>1</v>
      </c>
      <c r="L90" s="56"/>
    </row>
    <row r="91" spans="1:12" ht="14.25" customHeight="1">
      <c r="A91" s="99">
        <v>90</v>
      </c>
      <c r="B91" s="100" t="str">
        <f t="shared" si="1"/>
        <v>Conv-HPS-Street Light-1X-250W</v>
      </c>
      <c r="C91" s="225" t="s">
        <v>116</v>
      </c>
      <c r="D91" s="226" t="s">
        <v>81</v>
      </c>
      <c r="E91" s="227" t="s">
        <v>110</v>
      </c>
      <c r="F91" s="227" t="s">
        <v>117</v>
      </c>
      <c r="G91" s="62"/>
      <c r="H91" s="62" t="s">
        <v>98</v>
      </c>
      <c r="I91" s="63">
        <v>250</v>
      </c>
      <c r="J91" s="64">
        <f>IFERROR(K91*I91*VLOOKUP(C91,Mnu!$E$20:$F$37,2,FALSE)," ")</f>
        <v>12500</v>
      </c>
      <c r="K91" s="228">
        <v>1</v>
      </c>
      <c r="L91" s="56"/>
    </row>
    <row r="92" spans="1:12" ht="14.25" customHeight="1">
      <c r="A92" s="99">
        <v>91</v>
      </c>
      <c r="B92" s="100" t="str">
        <f t="shared" si="1"/>
        <v>Conv-HPS-Street Light-1X-400W</v>
      </c>
      <c r="C92" s="225" t="s">
        <v>116</v>
      </c>
      <c r="D92" s="226" t="s">
        <v>81</v>
      </c>
      <c r="E92" s="227" t="s">
        <v>110</v>
      </c>
      <c r="F92" s="227" t="s">
        <v>117</v>
      </c>
      <c r="G92" s="62"/>
      <c r="H92" s="62" t="s">
        <v>98</v>
      </c>
      <c r="I92" s="63">
        <v>400</v>
      </c>
      <c r="J92" s="64">
        <f>IFERROR(K92*I92*VLOOKUP(C92,Mnu!$E$20:$F$37,2,FALSE)," ")</f>
        <v>20000</v>
      </c>
      <c r="K92" s="228">
        <v>1</v>
      </c>
      <c r="L92" s="56"/>
    </row>
    <row r="93" spans="1:12" ht="14.25" customHeight="1">
      <c r="A93" s="99">
        <v>92</v>
      </c>
      <c r="B93" s="100" t="str">
        <f t="shared" si="1"/>
        <v>Conv-HPS-High Bay-1X-250W</v>
      </c>
      <c r="C93" s="225" t="s">
        <v>116</v>
      </c>
      <c r="D93" s="226" t="s">
        <v>81</v>
      </c>
      <c r="E93" s="227" t="s">
        <v>90</v>
      </c>
      <c r="F93" s="227" t="s">
        <v>118</v>
      </c>
      <c r="G93" s="62"/>
      <c r="H93" s="62" t="s">
        <v>98</v>
      </c>
      <c r="I93" s="63">
        <v>250</v>
      </c>
      <c r="J93" s="64">
        <f>IFERROR(K93*I93*VLOOKUP(C93,Mnu!$E$20:$F$37,2,FALSE)," ")</f>
        <v>12500</v>
      </c>
      <c r="K93" s="228">
        <v>1</v>
      </c>
      <c r="L93" s="56"/>
    </row>
    <row r="94" spans="1:12" ht="14.25" customHeight="1">
      <c r="A94" s="99">
        <v>93</v>
      </c>
      <c r="B94" s="100" t="str">
        <f t="shared" si="1"/>
        <v>Conv-HPS-High Bay-1X-400W</v>
      </c>
      <c r="C94" s="225" t="s">
        <v>116</v>
      </c>
      <c r="D94" s="226" t="s">
        <v>81</v>
      </c>
      <c r="E94" s="227" t="s">
        <v>90</v>
      </c>
      <c r="F94" s="227" t="s">
        <v>118</v>
      </c>
      <c r="G94" s="62"/>
      <c r="H94" s="62" t="s">
        <v>98</v>
      </c>
      <c r="I94" s="63">
        <v>400</v>
      </c>
      <c r="J94" s="64">
        <f>IFERROR(K94*I94*VLOOKUP(C94,Mnu!$E$20:$F$37,2,FALSE)," ")</f>
        <v>20000</v>
      </c>
      <c r="K94" s="228">
        <v>1</v>
      </c>
      <c r="L94" s="56"/>
    </row>
    <row r="95" spans="1:12" ht="14.25" customHeight="1">
      <c r="A95" s="99">
        <v>94</v>
      </c>
      <c r="B95" s="100" t="str">
        <f t="shared" si="1"/>
        <v>Conv-HPS-E40-1X-100W</v>
      </c>
      <c r="C95" s="225" t="s">
        <v>116</v>
      </c>
      <c r="D95" s="226" t="s">
        <v>81</v>
      </c>
      <c r="E95" s="227" t="s">
        <v>90</v>
      </c>
      <c r="F95" s="227" t="s">
        <v>105</v>
      </c>
      <c r="G95" s="62"/>
      <c r="H95" s="62" t="s">
        <v>98</v>
      </c>
      <c r="I95" s="63">
        <v>100</v>
      </c>
      <c r="J95" s="64">
        <f>IFERROR(K95*I95*VLOOKUP(C95,Mnu!$E$20:$F$37,2,FALSE)," ")</f>
        <v>5000</v>
      </c>
      <c r="K95" s="228">
        <v>1</v>
      </c>
      <c r="L95" s="56"/>
    </row>
    <row r="96" spans="1:12" ht="14.25" customHeight="1">
      <c r="A96" s="99">
        <v>95</v>
      </c>
      <c r="B96" s="100" t="str">
        <f t="shared" si="1"/>
        <v>LED_Tube-T8-1.5M-1X-30W</v>
      </c>
      <c r="C96" s="225" t="s">
        <v>187</v>
      </c>
      <c r="D96" s="226" t="s">
        <v>82</v>
      </c>
      <c r="E96" s="227" t="s">
        <v>90</v>
      </c>
      <c r="F96" s="227" t="s">
        <v>89</v>
      </c>
      <c r="G96" s="62" t="s">
        <v>97</v>
      </c>
      <c r="H96" s="62" t="s">
        <v>98</v>
      </c>
      <c r="I96" s="63">
        <v>30</v>
      </c>
      <c r="J96" s="64">
        <f>IFERROR(K96*I96*VLOOKUP(C96,Mnu!$E$20:$F$37,2,FALSE)," ")</f>
        <v>2250</v>
      </c>
      <c r="K96" s="228">
        <v>1</v>
      </c>
      <c r="L96" s="56"/>
    </row>
    <row r="97" spans="1:12" ht="14.25" customHeight="1">
      <c r="A97" s="99">
        <v>96</v>
      </c>
      <c r="B97" s="100" t="str">
        <f t="shared" si="1"/>
        <v>LED_Tube-T8-1.5M-2X-30W</v>
      </c>
      <c r="C97" s="225" t="s">
        <v>187</v>
      </c>
      <c r="D97" s="226" t="s">
        <v>82</v>
      </c>
      <c r="E97" s="227" t="s">
        <v>90</v>
      </c>
      <c r="F97" s="227" t="s">
        <v>89</v>
      </c>
      <c r="G97" s="62" t="s">
        <v>97</v>
      </c>
      <c r="H97" s="62" t="s">
        <v>99</v>
      </c>
      <c r="I97" s="63">
        <v>30</v>
      </c>
      <c r="J97" s="64">
        <f>IFERROR(K97*I97*VLOOKUP(C97,Mnu!$E$20:$F$37,2,FALSE)," ")</f>
        <v>4500</v>
      </c>
      <c r="K97" s="228">
        <v>2</v>
      </c>
      <c r="L97" s="56"/>
    </row>
    <row r="98" spans="1:12" ht="14.25" customHeight="1">
      <c r="A98" s="99">
        <v>97</v>
      </c>
      <c r="B98" s="100" t="str">
        <f t="shared" si="1"/>
        <v>LED_Tube-T8-1.5M-3X-30W</v>
      </c>
      <c r="C98" s="225" t="s">
        <v>187</v>
      </c>
      <c r="D98" s="226" t="s">
        <v>82</v>
      </c>
      <c r="E98" s="227" t="s">
        <v>90</v>
      </c>
      <c r="F98" s="227" t="s">
        <v>89</v>
      </c>
      <c r="G98" s="62" t="s">
        <v>97</v>
      </c>
      <c r="H98" s="62" t="s">
        <v>100</v>
      </c>
      <c r="I98" s="63">
        <v>30</v>
      </c>
      <c r="J98" s="64">
        <f>IFERROR(K98*I98*VLOOKUP(C98,Mnu!$E$20:$F$37,2,FALSE)," ")</f>
        <v>6750</v>
      </c>
      <c r="K98" s="228">
        <v>3</v>
      </c>
      <c r="L98" s="56"/>
    </row>
    <row r="99" spans="1:12" ht="14.25" customHeight="1">
      <c r="A99" s="99">
        <v>98</v>
      </c>
      <c r="B99" s="100" t="str">
        <f t="shared" si="1"/>
        <v>LED_Tube-T8-1.5M-4X-30W</v>
      </c>
      <c r="C99" s="225" t="s">
        <v>187</v>
      </c>
      <c r="D99" s="226" t="s">
        <v>82</v>
      </c>
      <c r="E99" s="227" t="s">
        <v>90</v>
      </c>
      <c r="F99" s="227" t="s">
        <v>89</v>
      </c>
      <c r="G99" s="62" t="s">
        <v>97</v>
      </c>
      <c r="H99" s="62" t="s">
        <v>101</v>
      </c>
      <c r="I99" s="63">
        <v>30</v>
      </c>
      <c r="J99" s="64">
        <f>IFERROR(K99*I99*VLOOKUP(C99,Mnu!$E$20:$F$37,2,FALSE)," ")</f>
        <v>9000</v>
      </c>
      <c r="K99" s="228">
        <v>4</v>
      </c>
      <c r="L99" s="56"/>
    </row>
    <row r="100" spans="1:12" ht="14.25" customHeight="1">
      <c r="A100" s="99">
        <v>99</v>
      </c>
      <c r="B100" s="100" t="str">
        <f t="shared" si="1"/>
        <v>LED_Tube-T8-1.2M-1X-20W</v>
      </c>
      <c r="C100" s="225" t="s">
        <v>187</v>
      </c>
      <c r="D100" s="226" t="s">
        <v>82</v>
      </c>
      <c r="E100" s="227" t="s">
        <v>90</v>
      </c>
      <c r="F100" s="227" t="s">
        <v>89</v>
      </c>
      <c r="G100" s="62" t="s">
        <v>102</v>
      </c>
      <c r="H100" s="62" t="s">
        <v>98</v>
      </c>
      <c r="I100" s="63">
        <v>20</v>
      </c>
      <c r="J100" s="64">
        <f>IFERROR(K100*I100*VLOOKUP(C100,Mnu!$E$20:$F$37,2,FALSE)," ")</f>
        <v>1500</v>
      </c>
      <c r="K100" s="228">
        <v>1</v>
      </c>
      <c r="L100" s="56"/>
    </row>
    <row r="101" spans="1:12" ht="14.25" customHeight="1">
      <c r="A101" s="99">
        <v>100</v>
      </c>
      <c r="B101" s="100" t="str">
        <f t="shared" si="1"/>
        <v>LED_Tube-T8-1.2M-2X-20W</v>
      </c>
      <c r="C101" s="225" t="s">
        <v>187</v>
      </c>
      <c r="D101" s="226" t="s">
        <v>82</v>
      </c>
      <c r="E101" s="227" t="s">
        <v>90</v>
      </c>
      <c r="F101" s="227" t="s">
        <v>89</v>
      </c>
      <c r="G101" s="62" t="s">
        <v>102</v>
      </c>
      <c r="H101" s="62" t="s">
        <v>99</v>
      </c>
      <c r="I101" s="63">
        <v>20</v>
      </c>
      <c r="J101" s="64">
        <f>IFERROR(K101*I101*VLOOKUP(C101,Mnu!$E$20:$F$37,2,FALSE)," ")</f>
        <v>3000</v>
      </c>
      <c r="K101" s="228">
        <v>2</v>
      </c>
      <c r="L101" s="56"/>
    </row>
    <row r="102" spans="1:12" ht="14.25" customHeight="1">
      <c r="A102" s="99">
        <v>101</v>
      </c>
      <c r="B102" s="100" t="str">
        <f t="shared" si="1"/>
        <v>LED_Tube-T8-1.2M-3X-20W</v>
      </c>
      <c r="C102" s="225" t="s">
        <v>187</v>
      </c>
      <c r="D102" s="226" t="s">
        <v>82</v>
      </c>
      <c r="E102" s="227" t="s">
        <v>90</v>
      </c>
      <c r="F102" s="227" t="s">
        <v>89</v>
      </c>
      <c r="G102" s="62" t="s">
        <v>102</v>
      </c>
      <c r="H102" s="62" t="s">
        <v>100</v>
      </c>
      <c r="I102" s="63">
        <v>20</v>
      </c>
      <c r="J102" s="64">
        <f>IFERROR(K102*I102*VLOOKUP(C102,Mnu!$E$20:$F$37,2,FALSE)," ")</f>
        <v>4500</v>
      </c>
      <c r="K102" s="228">
        <v>3</v>
      </c>
      <c r="L102" s="56"/>
    </row>
    <row r="103" spans="1:12" ht="14.25" customHeight="1">
      <c r="A103" s="99">
        <v>102</v>
      </c>
      <c r="B103" s="100" t="str">
        <f t="shared" si="1"/>
        <v>LED_Tube-T8-1.2M-4X-20W</v>
      </c>
      <c r="C103" s="225" t="s">
        <v>187</v>
      </c>
      <c r="D103" s="226" t="s">
        <v>82</v>
      </c>
      <c r="E103" s="227" t="s">
        <v>90</v>
      </c>
      <c r="F103" s="227" t="s">
        <v>89</v>
      </c>
      <c r="G103" s="62" t="s">
        <v>102</v>
      </c>
      <c r="H103" s="62" t="s">
        <v>101</v>
      </c>
      <c r="I103" s="63">
        <v>20</v>
      </c>
      <c r="J103" s="64">
        <f>IFERROR(K103*I103*VLOOKUP(C103,Mnu!$E$20:$F$37,2,FALSE)," ")</f>
        <v>6000</v>
      </c>
      <c r="K103" s="228">
        <v>4</v>
      </c>
      <c r="L103" s="56"/>
    </row>
    <row r="104" spans="1:12" ht="14.25" customHeight="1">
      <c r="A104" s="99">
        <v>103</v>
      </c>
      <c r="B104" s="100" t="str">
        <f t="shared" si="1"/>
        <v>LED_Tube-T8-1.2M-1X-18W</v>
      </c>
      <c r="C104" s="225" t="s">
        <v>187</v>
      </c>
      <c r="D104" s="226" t="s">
        <v>82</v>
      </c>
      <c r="E104" s="227" t="s">
        <v>90</v>
      </c>
      <c r="F104" s="227" t="s">
        <v>89</v>
      </c>
      <c r="G104" s="62" t="s">
        <v>102</v>
      </c>
      <c r="H104" s="62" t="s">
        <v>98</v>
      </c>
      <c r="I104" s="63">
        <v>18</v>
      </c>
      <c r="J104" s="64">
        <f>IFERROR(K104*I104*VLOOKUP(C104,Mnu!$E$20:$F$37,2,FALSE)," ")</f>
        <v>1350</v>
      </c>
      <c r="K104" s="228">
        <v>1</v>
      </c>
      <c r="L104" s="56"/>
    </row>
    <row r="105" spans="1:12" ht="14.25" customHeight="1">
      <c r="A105" s="99">
        <v>104</v>
      </c>
      <c r="B105" s="100" t="str">
        <f t="shared" si="1"/>
        <v>LED_Tube-T8-1.2M-2X-18W</v>
      </c>
      <c r="C105" s="225" t="s">
        <v>187</v>
      </c>
      <c r="D105" s="226" t="s">
        <v>82</v>
      </c>
      <c r="E105" s="227" t="s">
        <v>90</v>
      </c>
      <c r="F105" s="227" t="s">
        <v>89</v>
      </c>
      <c r="G105" s="62" t="s">
        <v>102</v>
      </c>
      <c r="H105" s="62" t="s">
        <v>99</v>
      </c>
      <c r="I105" s="63">
        <v>18</v>
      </c>
      <c r="J105" s="64">
        <f>IFERROR(K105*I105*VLOOKUP(C105,Mnu!$E$20:$F$37,2,FALSE)," ")</f>
        <v>2700</v>
      </c>
      <c r="K105" s="228">
        <v>2</v>
      </c>
      <c r="L105" s="56"/>
    </row>
    <row r="106" spans="1:12" ht="14.25" customHeight="1">
      <c r="A106" s="99">
        <v>105</v>
      </c>
      <c r="B106" s="100" t="str">
        <f t="shared" si="1"/>
        <v>LED_Tube-T8-1.2M-3X-18W</v>
      </c>
      <c r="C106" s="225" t="s">
        <v>187</v>
      </c>
      <c r="D106" s="226" t="s">
        <v>82</v>
      </c>
      <c r="E106" s="227" t="s">
        <v>90</v>
      </c>
      <c r="F106" s="227" t="s">
        <v>89</v>
      </c>
      <c r="G106" s="62" t="s">
        <v>102</v>
      </c>
      <c r="H106" s="62" t="s">
        <v>100</v>
      </c>
      <c r="I106" s="63">
        <v>18</v>
      </c>
      <c r="J106" s="64">
        <f>IFERROR(K106*I106*VLOOKUP(C106,Mnu!$E$20:$F$37,2,FALSE)," ")</f>
        <v>4050</v>
      </c>
      <c r="K106" s="228">
        <v>3</v>
      </c>
      <c r="L106" s="56"/>
    </row>
    <row r="107" spans="1:12" ht="14.25" customHeight="1">
      <c r="A107" s="99">
        <v>106</v>
      </c>
      <c r="B107" s="100" t="str">
        <f t="shared" si="1"/>
        <v>LED_Tube-T8-1.2M-4X-18W</v>
      </c>
      <c r="C107" s="225" t="s">
        <v>187</v>
      </c>
      <c r="D107" s="226" t="s">
        <v>82</v>
      </c>
      <c r="E107" s="227" t="s">
        <v>90</v>
      </c>
      <c r="F107" s="227" t="s">
        <v>89</v>
      </c>
      <c r="G107" s="62" t="s">
        <v>102</v>
      </c>
      <c r="H107" s="62" t="s">
        <v>101</v>
      </c>
      <c r="I107" s="63">
        <v>18</v>
      </c>
      <c r="J107" s="64">
        <f>IFERROR(K107*I107*VLOOKUP(C107,Mnu!$E$20:$F$37,2,FALSE)," ")</f>
        <v>5400</v>
      </c>
      <c r="K107" s="228">
        <v>4</v>
      </c>
      <c r="L107" s="56"/>
    </row>
    <row r="108" spans="1:12" ht="14.25" customHeight="1">
      <c r="A108" s="99">
        <v>107</v>
      </c>
      <c r="B108" s="100" t="str">
        <f t="shared" si="1"/>
        <v>LED_Tube-T8-0.6M-1X-20W</v>
      </c>
      <c r="C108" s="225" t="s">
        <v>187</v>
      </c>
      <c r="D108" s="226" t="s">
        <v>82</v>
      </c>
      <c r="E108" s="227" t="s">
        <v>90</v>
      </c>
      <c r="F108" s="227" t="s">
        <v>89</v>
      </c>
      <c r="G108" s="62" t="s">
        <v>103</v>
      </c>
      <c r="H108" s="62" t="s">
        <v>98</v>
      </c>
      <c r="I108" s="63">
        <v>20</v>
      </c>
      <c r="J108" s="64">
        <f>IFERROR(K108*I108*VLOOKUP(C108,Mnu!$E$20:$F$37,2,FALSE)," ")</f>
        <v>1500</v>
      </c>
      <c r="K108" s="228">
        <v>1</v>
      </c>
      <c r="L108" s="56"/>
    </row>
    <row r="109" spans="1:12" ht="14.25" customHeight="1">
      <c r="A109" s="99">
        <v>108</v>
      </c>
      <c r="B109" s="100" t="str">
        <f t="shared" si="1"/>
        <v>LED_Tube-T8-0.6M-2X-20W</v>
      </c>
      <c r="C109" s="225" t="s">
        <v>187</v>
      </c>
      <c r="D109" s="226" t="s">
        <v>82</v>
      </c>
      <c r="E109" s="227" t="s">
        <v>90</v>
      </c>
      <c r="F109" s="227" t="s">
        <v>89</v>
      </c>
      <c r="G109" s="62" t="s">
        <v>103</v>
      </c>
      <c r="H109" s="62" t="s">
        <v>99</v>
      </c>
      <c r="I109" s="63">
        <v>20</v>
      </c>
      <c r="J109" s="64">
        <f>IFERROR(K109*I109*VLOOKUP(C109,Mnu!$E$20:$F$37,2,FALSE)," ")</f>
        <v>3000</v>
      </c>
      <c r="K109" s="228">
        <v>2</v>
      </c>
      <c r="L109" s="56"/>
    </row>
    <row r="110" spans="1:12" ht="14.25" customHeight="1">
      <c r="A110" s="99">
        <v>109</v>
      </c>
      <c r="B110" s="100" t="str">
        <f t="shared" si="1"/>
        <v>LED_Tube-T8-0.6M-3X-20W</v>
      </c>
      <c r="C110" s="225" t="s">
        <v>187</v>
      </c>
      <c r="D110" s="226" t="s">
        <v>82</v>
      </c>
      <c r="E110" s="227" t="s">
        <v>90</v>
      </c>
      <c r="F110" s="227" t="s">
        <v>89</v>
      </c>
      <c r="G110" s="62" t="s">
        <v>103</v>
      </c>
      <c r="H110" s="62" t="s">
        <v>100</v>
      </c>
      <c r="I110" s="63">
        <v>20</v>
      </c>
      <c r="J110" s="64">
        <f>IFERROR(K110*I110*VLOOKUP(C110,Mnu!$E$20:$F$37,2,FALSE)," ")</f>
        <v>4500</v>
      </c>
      <c r="K110" s="228">
        <v>3</v>
      </c>
      <c r="L110" s="56"/>
    </row>
    <row r="111" spans="1:12" ht="14.25" customHeight="1">
      <c r="A111" s="99">
        <v>110</v>
      </c>
      <c r="B111" s="100" t="str">
        <f t="shared" si="1"/>
        <v>LED_Tube-T8-0.6M-4X-20W</v>
      </c>
      <c r="C111" s="225" t="s">
        <v>187</v>
      </c>
      <c r="D111" s="226" t="s">
        <v>82</v>
      </c>
      <c r="E111" s="227" t="s">
        <v>90</v>
      </c>
      <c r="F111" s="227" t="s">
        <v>89</v>
      </c>
      <c r="G111" s="62" t="s">
        <v>103</v>
      </c>
      <c r="H111" s="62" t="s">
        <v>101</v>
      </c>
      <c r="I111" s="63">
        <v>20</v>
      </c>
      <c r="J111" s="64">
        <f>IFERROR(K111*I111*VLOOKUP(C111,Mnu!$E$20:$F$37,2,FALSE)," ")</f>
        <v>6000</v>
      </c>
      <c r="K111" s="228">
        <v>4</v>
      </c>
      <c r="L111" s="56"/>
    </row>
    <row r="112" spans="1:12" ht="14.25" customHeight="1">
      <c r="A112" s="99">
        <v>111</v>
      </c>
      <c r="B112" s="100" t="str">
        <f t="shared" si="1"/>
        <v>LED_Tube-T8-0.6M-1X-18W</v>
      </c>
      <c r="C112" s="225" t="s">
        <v>187</v>
      </c>
      <c r="D112" s="226" t="s">
        <v>82</v>
      </c>
      <c r="E112" s="227" t="s">
        <v>90</v>
      </c>
      <c r="F112" s="227" t="s">
        <v>89</v>
      </c>
      <c r="G112" s="62" t="s">
        <v>103</v>
      </c>
      <c r="H112" s="62" t="s">
        <v>98</v>
      </c>
      <c r="I112" s="63">
        <v>18</v>
      </c>
      <c r="J112" s="64">
        <f>IFERROR(K112*I112*VLOOKUP(C112,Mnu!$E$20:$F$37,2,FALSE)," ")</f>
        <v>1350</v>
      </c>
      <c r="K112" s="228">
        <v>1</v>
      </c>
      <c r="L112" s="56"/>
    </row>
    <row r="113" spans="1:12" ht="14.25" customHeight="1">
      <c r="A113" s="99">
        <v>112</v>
      </c>
      <c r="B113" s="100" t="str">
        <f t="shared" si="1"/>
        <v>LED_Tube-T8-0.6M-2X-18W</v>
      </c>
      <c r="C113" s="225" t="s">
        <v>187</v>
      </c>
      <c r="D113" s="226" t="s">
        <v>82</v>
      </c>
      <c r="E113" s="227" t="s">
        <v>90</v>
      </c>
      <c r="F113" s="227" t="s">
        <v>89</v>
      </c>
      <c r="G113" s="62" t="s">
        <v>103</v>
      </c>
      <c r="H113" s="62" t="s">
        <v>99</v>
      </c>
      <c r="I113" s="63">
        <v>18</v>
      </c>
      <c r="J113" s="64">
        <f>IFERROR(K113*I113*VLOOKUP(C113,Mnu!$E$20:$F$37,2,FALSE)," ")</f>
        <v>2700</v>
      </c>
      <c r="K113" s="228">
        <v>2</v>
      </c>
      <c r="L113" s="56"/>
    </row>
    <row r="114" spans="1:12" ht="14.25" customHeight="1">
      <c r="A114" s="99">
        <v>113</v>
      </c>
      <c r="B114" s="100" t="str">
        <f t="shared" si="1"/>
        <v>LED_Tube-T8-0.6M-3X-18W</v>
      </c>
      <c r="C114" s="225" t="s">
        <v>187</v>
      </c>
      <c r="D114" s="226" t="s">
        <v>82</v>
      </c>
      <c r="E114" s="227" t="s">
        <v>90</v>
      </c>
      <c r="F114" s="227" t="s">
        <v>89</v>
      </c>
      <c r="G114" s="62" t="s">
        <v>103</v>
      </c>
      <c r="H114" s="62" t="s">
        <v>100</v>
      </c>
      <c r="I114" s="63">
        <v>18</v>
      </c>
      <c r="J114" s="64">
        <f>IFERROR(K114*I114*VLOOKUP(C114,Mnu!$E$20:$F$37,2,FALSE)," ")</f>
        <v>4050</v>
      </c>
      <c r="K114" s="228">
        <v>3</v>
      </c>
      <c r="L114" s="56"/>
    </row>
    <row r="115" spans="1:12" ht="14.25" customHeight="1">
      <c r="A115" s="99">
        <v>114</v>
      </c>
      <c r="B115" s="100" t="str">
        <f t="shared" si="1"/>
        <v>LED_Tube-T8-0.6M-4X-18W</v>
      </c>
      <c r="C115" s="225" t="s">
        <v>187</v>
      </c>
      <c r="D115" s="226" t="s">
        <v>82</v>
      </c>
      <c r="E115" s="227" t="s">
        <v>90</v>
      </c>
      <c r="F115" s="227" t="s">
        <v>89</v>
      </c>
      <c r="G115" s="62" t="s">
        <v>103</v>
      </c>
      <c r="H115" s="62" t="s">
        <v>101</v>
      </c>
      <c r="I115" s="63">
        <v>18</v>
      </c>
      <c r="J115" s="64">
        <f>IFERROR(K115*I115*VLOOKUP(C115,Mnu!$E$20:$F$37,2,FALSE)," ")</f>
        <v>5400</v>
      </c>
      <c r="K115" s="228">
        <v>4</v>
      </c>
      <c r="L115" s="56"/>
    </row>
    <row r="116" spans="1:12" ht="14.25" customHeight="1">
      <c r="A116" s="99">
        <v>115</v>
      </c>
      <c r="B116" s="100" t="str">
        <f t="shared" si="1"/>
        <v>LED_Spot_Light-Spot Light-1X-5W</v>
      </c>
      <c r="C116" s="225" t="s">
        <v>188</v>
      </c>
      <c r="D116" s="226" t="s">
        <v>82</v>
      </c>
      <c r="E116" s="227" t="s">
        <v>90</v>
      </c>
      <c r="F116" s="227" t="s">
        <v>115</v>
      </c>
      <c r="G116" s="62"/>
      <c r="H116" s="62" t="s">
        <v>98</v>
      </c>
      <c r="I116" s="63">
        <v>5</v>
      </c>
      <c r="J116" s="64">
        <f>IFERROR(K116*I116*VLOOKUP(C116,Mnu!$E$20:$F$37,2,FALSE)," ")</f>
        <v>350</v>
      </c>
      <c r="K116" s="228">
        <v>1</v>
      </c>
      <c r="L116" s="56"/>
    </row>
    <row r="117" spans="1:12" ht="14.25" customHeight="1">
      <c r="A117" s="99">
        <v>116</v>
      </c>
      <c r="B117" s="100" t="str">
        <f t="shared" si="1"/>
        <v>LED_Spot_Light-Spot Light-1X-7W</v>
      </c>
      <c r="C117" s="225" t="s">
        <v>188</v>
      </c>
      <c r="D117" s="226" t="s">
        <v>82</v>
      </c>
      <c r="E117" s="227" t="s">
        <v>90</v>
      </c>
      <c r="F117" s="227" t="s">
        <v>115</v>
      </c>
      <c r="G117" s="62"/>
      <c r="H117" s="62" t="s">
        <v>98</v>
      </c>
      <c r="I117" s="63">
        <v>7</v>
      </c>
      <c r="J117" s="64">
        <f>IFERROR(K117*I117*VLOOKUP(C117,Mnu!$E$20:$F$37,2,FALSE)," ")</f>
        <v>490</v>
      </c>
      <c r="K117" s="228">
        <v>1</v>
      </c>
      <c r="L117" s="56"/>
    </row>
    <row r="118" spans="1:12" ht="14.25" customHeight="1">
      <c r="A118" s="99">
        <v>117</v>
      </c>
      <c r="B118" s="100" t="str">
        <f t="shared" si="1"/>
        <v>LED_Bulb-E27-1X-9W</v>
      </c>
      <c r="C118" s="225" t="s">
        <v>189</v>
      </c>
      <c r="D118" s="226" t="s">
        <v>82</v>
      </c>
      <c r="E118" s="227" t="s">
        <v>90</v>
      </c>
      <c r="F118" s="227" t="s">
        <v>104</v>
      </c>
      <c r="G118" s="62"/>
      <c r="H118" s="62" t="s">
        <v>98</v>
      </c>
      <c r="I118" s="63">
        <v>9</v>
      </c>
      <c r="J118" s="64">
        <f>IFERROR(K118*I118*VLOOKUP(C118,Mnu!$E$20:$F$37,2,FALSE)," ")</f>
        <v>675</v>
      </c>
      <c r="K118" s="228">
        <v>1</v>
      </c>
      <c r="L118" s="56"/>
    </row>
    <row r="119" spans="1:12" ht="14.25" customHeight="1">
      <c r="A119" s="99">
        <v>118</v>
      </c>
      <c r="B119" s="100" t="str">
        <f t="shared" si="1"/>
        <v>LED_Bulb-E27-1X-12W</v>
      </c>
      <c r="C119" s="225" t="s">
        <v>189</v>
      </c>
      <c r="D119" s="226" t="s">
        <v>82</v>
      </c>
      <c r="E119" s="227" t="s">
        <v>90</v>
      </c>
      <c r="F119" s="227" t="s">
        <v>104</v>
      </c>
      <c r="G119" s="62"/>
      <c r="H119" s="62" t="s">
        <v>98</v>
      </c>
      <c r="I119" s="63">
        <v>12</v>
      </c>
      <c r="J119" s="64">
        <f>IFERROR(K119*I119*VLOOKUP(C119,Mnu!$E$20:$F$37,2,FALSE)," ")</f>
        <v>900</v>
      </c>
      <c r="K119" s="228">
        <v>1</v>
      </c>
      <c r="L119" s="56"/>
    </row>
    <row r="120" spans="1:12" ht="14.25" customHeight="1">
      <c r="A120" s="99">
        <v>119</v>
      </c>
      <c r="B120" s="100" t="str">
        <f t="shared" si="1"/>
        <v>LED_Bulb-E27-1X-15W</v>
      </c>
      <c r="C120" s="225" t="s">
        <v>189</v>
      </c>
      <c r="D120" s="226" t="s">
        <v>82</v>
      </c>
      <c r="E120" s="227" t="s">
        <v>90</v>
      </c>
      <c r="F120" s="227" t="s">
        <v>104</v>
      </c>
      <c r="G120" s="62"/>
      <c r="H120" s="62" t="s">
        <v>98</v>
      </c>
      <c r="I120" s="63">
        <v>15</v>
      </c>
      <c r="J120" s="64">
        <f>IFERROR(K120*I120*VLOOKUP(C120,Mnu!$E$20:$F$37,2,FALSE)," ")</f>
        <v>1125</v>
      </c>
      <c r="K120" s="228">
        <v>1</v>
      </c>
      <c r="L120" s="56"/>
    </row>
    <row r="121" spans="1:12" ht="14.25" customHeight="1">
      <c r="A121" s="99">
        <v>120</v>
      </c>
      <c r="B121" s="100" t="str">
        <f t="shared" si="1"/>
        <v>LED_Bulb-E27-1X-20W</v>
      </c>
      <c r="C121" s="225" t="s">
        <v>189</v>
      </c>
      <c r="D121" s="226" t="s">
        <v>82</v>
      </c>
      <c r="E121" s="227" t="s">
        <v>90</v>
      </c>
      <c r="F121" s="227" t="s">
        <v>104</v>
      </c>
      <c r="G121" s="62"/>
      <c r="H121" s="62" t="s">
        <v>98</v>
      </c>
      <c r="I121" s="63">
        <v>20</v>
      </c>
      <c r="J121" s="64">
        <f>IFERROR(K121*I121*VLOOKUP(C121,Mnu!$E$20:$F$37,2,FALSE)," ")</f>
        <v>1500</v>
      </c>
      <c r="K121" s="228">
        <v>1</v>
      </c>
      <c r="L121" s="56"/>
    </row>
    <row r="122" spans="1:12" ht="14.25" customHeight="1">
      <c r="A122" s="99">
        <v>121</v>
      </c>
      <c r="B122" s="100" t="str">
        <f t="shared" si="1"/>
        <v>LED_Bulb-E40-1X-50W</v>
      </c>
      <c r="C122" s="225" t="s">
        <v>189</v>
      </c>
      <c r="D122" s="226" t="s">
        <v>82</v>
      </c>
      <c r="E122" s="227" t="s">
        <v>90</v>
      </c>
      <c r="F122" s="227" t="s">
        <v>105</v>
      </c>
      <c r="G122" s="62"/>
      <c r="H122" s="62" t="s">
        <v>98</v>
      </c>
      <c r="I122" s="63">
        <v>50</v>
      </c>
      <c r="J122" s="64">
        <f>IFERROR(K122*I122*VLOOKUP(C122,Mnu!$E$20:$F$37,2,FALSE)," ")</f>
        <v>3750</v>
      </c>
      <c r="K122" s="228">
        <v>1</v>
      </c>
      <c r="L122" s="56"/>
    </row>
    <row r="123" spans="1:12" ht="14.25" customHeight="1">
      <c r="A123" s="99">
        <v>122</v>
      </c>
      <c r="B123" s="100" t="str">
        <f t="shared" si="1"/>
        <v>LED_Panel_light-60X60-1X-48W</v>
      </c>
      <c r="C123" s="225" t="s">
        <v>766</v>
      </c>
      <c r="D123" s="226" t="s">
        <v>82</v>
      </c>
      <c r="E123" s="227" t="s">
        <v>90</v>
      </c>
      <c r="F123" s="227" t="s">
        <v>122</v>
      </c>
      <c r="G123" s="62"/>
      <c r="H123" s="62" t="s">
        <v>98</v>
      </c>
      <c r="I123" s="63">
        <v>48</v>
      </c>
      <c r="J123" s="64">
        <f>IFERROR(K123*I123*VLOOKUP(C123,Mnu!$E$20:$F$37,2,FALSE)," ")</f>
        <v>3600</v>
      </c>
      <c r="K123" s="228">
        <v>1</v>
      </c>
      <c r="L123" s="56"/>
    </row>
    <row r="124" spans="1:12" ht="14.25" customHeight="1">
      <c r="A124" s="99">
        <v>123</v>
      </c>
      <c r="B124" s="100" t="str">
        <f t="shared" si="1"/>
        <v>LED_Panel_light-60X60-1X-40W</v>
      </c>
      <c r="C124" s="225" t="s">
        <v>766</v>
      </c>
      <c r="D124" s="226" t="s">
        <v>82</v>
      </c>
      <c r="E124" s="227" t="s">
        <v>90</v>
      </c>
      <c r="F124" s="227" t="s">
        <v>122</v>
      </c>
      <c r="G124" s="62"/>
      <c r="H124" s="62" t="s">
        <v>98</v>
      </c>
      <c r="I124" s="63">
        <v>40</v>
      </c>
      <c r="J124" s="64">
        <f>IFERROR(K124*I124*VLOOKUP(C124,Mnu!$E$20:$F$37,2,FALSE)," ")</f>
        <v>3000</v>
      </c>
      <c r="K124" s="228">
        <v>1</v>
      </c>
      <c r="L124" s="56"/>
    </row>
    <row r="125" spans="1:12" ht="14.25" customHeight="1">
      <c r="A125" s="99">
        <v>124</v>
      </c>
      <c r="B125" s="100" t="str">
        <f t="shared" si="1"/>
        <v>LED_Panel_light-60X60-1X-60W</v>
      </c>
      <c r="C125" s="225" t="s">
        <v>766</v>
      </c>
      <c r="D125" s="226" t="s">
        <v>82</v>
      </c>
      <c r="E125" s="227" t="s">
        <v>90</v>
      </c>
      <c r="F125" s="227" t="s">
        <v>122</v>
      </c>
      <c r="G125" s="62"/>
      <c r="H125" s="62" t="s">
        <v>98</v>
      </c>
      <c r="I125" s="63">
        <v>60</v>
      </c>
      <c r="J125" s="64">
        <f>IFERROR(K125*I125*VLOOKUP(C125,Mnu!$E$20:$F$37,2,FALSE)," ")</f>
        <v>4500</v>
      </c>
      <c r="K125" s="228">
        <v>1</v>
      </c>
      <c r="L125" s="56"/>
    </row>
    <row r="126" spans="1:12" ht="14.25" customHeight="1">
      <c r="A126" s="99">
        <v>125</v>
      </c>
      <c r="B126" s="100" t="str">
        <f t="shared" si="1"/>
        <v>LED_Panel_light-60X60-1X-80W</v>
      </c>
      <c r="C126" s="225" t="s">
        <v>766</v>
      </c>
      <c r="D126" s="226" t="s">
        <v>82</v>
      </c>
      <c r="E126" s="227" t="s">
        <v>90</v>
      </c>
      <c r="F126" s="227" t="s">
        <v>122</v>
      </c>
      <c r="G126" s="62"/>
      <c r="H126" s="62" t="s">
        <v>98</v>
      </c>
      <c r="I126" s="63">
        <v>80</v>
      </c>
      <c r="J126" s="64">
        <f>IFERROR(K126*I126*VLOOKUP(C126,Mnu!$E$20:$F$37,2,FALSE)," ")</f>
        <v>6000</v>
      </c>
      <c r="K126" s="228">
        <v>1</v>
      </c>
      <c r="L126" s="56"/>
    </row>
    <row r="127" spans="1:12" ht="14.25" customHeight="1">
      <c r="A127" s="99">
        <v>126</v>
      </c>
      <c r="B127" s="100" t="str">
        <f t="shared" si="1"/>
        <v>LED_Panel_light-60X60-1X-100W</v>
      </c>
      <c r="C127" s="225" t="s">
        <v>766</v>
      </c>
      <c r="D127" s="226" t="s">
        <v>82</v>
      </c>
      <c r="E127" s="227" t="s">
        <v>90</v>
      </c>
      <c r="F127" s="227" t="s">
        <v>122</v>
      </c>
      <c r="G127" s="62"/>
      <c r="H127" s="62" t="s">
        <v>98</v>
      </c>
      <c r="I127" s="63">
        <v>100</v>
      </c>
      <c r="J127" s="64">
        <f>IFERROR(K127*I127*VLOOKUP(C127,Mnu!$E$20:$F$37,2,FALSE)," ")</f>
        <v>7500</v>
      </c>
      <c r="K127" s="228">
        <v>1</v>
      </c>
      <c r="L127" s="56"/>
    </row>
    <row r="128" spans="1:12" ht="14.25" customHeight="1">
      <c r="A128" s="99">
        <v>127</v>
      </c>
      <c r="B128" s="100" t="str">
        <f t="shared" si="1"/>
        <v>LED_Downlight-4''-1X-9W</v>
      </c>
      <c r="C128" s="225" t="s">
        <v>190</v>
      </c>
      <c r="D128" s="226" t="s">
        <v>82</v>
      </c>
      <c r="E128" s="227" t="s">
        <v>90</v>
      </c>
      <c r="F128" s="227" t="s">
        <v>123</v>
      </c>
      <c r="G128" s="62"/>
      <c r="H128" s="62" t="s">
        <v>98</v>
      </c>
      <c r="I128" s="63">
        <v>9</v>
      </c>
      <c r="J128" s="64">
        <f>IFERROR(K128*I128*VLOOKUP(C128,Mnu!$E$20:$F$37,2,FALSE)," ")</f>
        <v>675</v>
      </c>
      <c r="K128" s="228">
        <v>1</v>
      </c>
      <c r="L128" s="56"/>
    </row>
    <row r="129" spans="1:12" ht="14.25" customHeight="1">
      <c r="A129" s="99">
        <v>128</v>
      </c>
      <c r="B129" s="100" t="str">
        <f t="shared" si="1"/>
        <v>LED_Downlight-4''-1X-10W</v>
      </c>
      <c r="C129" s="225" t="s">
        <v>190</v>
      </c>
      <c r="D129" s="226" t="s">
        <v>82</v>
      </c>
      <c r="E129" s="227" t="s">
        <v>90</v>
      </c>
      <c r="F129" s="227" t="s">
        <v>123</v>
      </c>
      <c r="G129" s="62"/>
      <c r="H129" s="62" t="s">
        <v>98</v>
      </c>
      <c r="I129" s="63">
        <v>10</v>
      </c>
      <c r="J129" s="64">
        <f>IFERROR(K129*I129*VLOOKUP(C129,Mnu!$E$20:$F$37,2,FALSE)," ")</f>
        <v>750</v>
      </c>
      <c r="K129" s="228">
        <v>1</v>
      </c>
      <c r="L129" s="56"/>
    </row>
    <row r="130" spans="1:12" ht="14.25" customHeight="1">
      <c r="A130" s="99">
        <v>129</v>
      </c>
      <c r="B130" s="100" t="str">
        <f t="shared" si="1"/>
        <v>LED_Downlight-4''-1X-15W</v>
      </c>
      <c r="C130" s="225" t="s">
        <v>190</v>
      </c>
      <c r="D130" s="226" t="s">
        <v>82</v>
      </c>
      <c r="E130" s="227" t="s">
        <v>90</v>
      </c>
      <c r="F130" s="227" t="s">
        <v>123</v>
      </c>
      <c r="G130" s="62"/>
      <c r="H130" s="62" t="s">
        <v>98</v>
      </c>
      <c r="I130" s="63">
        <v>15</v>
      </c>
      <c r="J130" s="64">
        <f>IFERROR(K130*I130*VLOOKUP(C130,Mnu!$E$20:$F$37,2,FALSE)," ")</f>
        <v>1125</v>
      </c>
      <c r="K130" s="228">
        <v>1</v>
      </c>
      <c r="L130" s="56"/>
    </row>
    <row r="131" spans="1:12" ht="14.25" customHeight="1">
      <c r="A131" s="99">
        <v>130</v>
      </c>
      <c r="B131" s="100" t="str">
        <f t="shared" ref="B131:B194" si="2">IF(C131="","",IF(D131="Conv",IFERROR(D131&amp;"-"&amp;C131&amp;"-"&amp;F131&amp;"-"&amp;G131&amp;""&amp;H131&amp;"-"&amp;I131&amp;"W",""),IFERROR(C131&amp;"-"&amp;F131&amp;"-"&amp;G131&amp;""&amp;H131&amp;"-"&amp;I131&amp;"W","")))</f>
        <v>LED_Downlight-6''-1X-20W</v>
      </c>
      <c r="C131" s="225" t="s">
        <v>190</v>
      </c>
      <c r="D131" s="226" t="s">
        <v>82</v>
      </c>
      <c r="E131" s="227" t="s">
        <v>90</v>
      </c>
      <c r="F131" s="227" t="s">
        <v>124</v>
      </c>
      <c r="G131" s="62"/>
      <c r="H131" s="62" t="s">
        <v>98</v>
      </c>
      <c r="I131" s="63">
        <v>20</v>
      </c>
      <c r="J131" s="64">
        <f>IFERROR(K131*I131*VLOOKUP(C131,Mnu!$E$20:$F$37,2,FALSE)," ")</f>
        <v>1500</v>
      </c>
      <c r="K131" s="228">
        <v>1</v>
      </c>
      <c r="L131" s="56"/>
    </row>
    <row r="132" spans="1:12" ht="14.25" customHeight="1">
      <c r="A132" s="99">
        <v>131</v>
      </c>
      <c r="B132" s="100" t="str">
        <f t="shared" si="2"/>
        <v>LED_Downlight-8''-1X-30W</v>
      </c>
      <c r="C132" s="225" t="s">
        <v>190</v>
      </c>
      <c r="D132" s="226" t="s">
        <v>82</v>
      </c>
      <c r="E132" s="227" t="s">
        <v>90</v>
      </c>
      <c r="F132" s="227" t="s">
        <v>125</v>
      </c>
      <c r="G132" s="62"/>
      <c r="H132" s="62" t="s">
        <v>98</v>
      </c>
      <c r="I132" s="63">
        <v>30</v>
      </c>
      <c r="J132" s="64">
        <f>IFERROR(K132*I132*VLOOKUP(C132,Mnu!$E$20:$F$37,2,FALSE)," ")</f>
        <v>2250</v>
      </c>
      <c r="K132" s="228">
        <v>1</v>
      </c>
      <c r="L132" s="56"/>
    </row>
    <row r="133" spans="1:12" ht="14.25" customHeight="1">
      <c r="A133" s="99">
        <v>132</v>
      </c>
      <c r="B133" s="100" t="str">
        <f t="shared" si="2"/>
        <v>LED_Downlight-8''-1X-40W</v>
      </c>
      <c r="C133" s="225" t="s">
        <v>190</v>
      </c>
      <c r="D133" s="226" t="s">
        <v>82</v>
      </c>
      <c r="E133" s="227" t="s">
        <v>90</v>
      </c>
      <c r="F133" s="227" t="s">
        <v>125</v>
      </c>
      <c r="G133" s="62"/>
      <c r="H133" s="62" t="s">
        <v>98</v>
      </c>
      <c r="I133" s="63">
        <v>40</v>
      </c>
      <c r="J133" s="64">
        <f>IFERROR(K133*I133*VLOOKUP(C133,Mnu!$E$20:$F$37,2,FALSE)," ")</f>
        <v>3000</v>
      </c>
      <c r="K133" s="228">
        <v>1</v>
      </c>
      <c r="L133" s="56"/>
    </row>
    <row r="134" spans="1:12" ht="14.25" customHeight="1">
      <c r="A134" s="99">
        <v>133</v>
      </c>
      <c r="B134" s="100" t="str">
        <f t="shared" si="2"/>
        <v>LED_Flood_Light-Flood Light-1X-50W</v>
      </c>
      <c r="C134" s="225" t="s">
        <v>767</v>
      </c>
      <c r="D134" s="226" t="s">
        <v>82</v>
      </c>
      <c r="E134" s="227" t="s">
        <v>110</v>
      </c>
      <c r="F134" s="227" t="s">
        <v>111</v>
      </c>
      <c r="G134" s="62"/>
      <c r="H134" s="62" t="s">
        <v>98</v>
      </c>
      <c r="I134" s="63">
        <v>50</v>
      </c>
      <c r="J134" s="64">
        <f>IFERROR(K134*I134*VLOOKUP(C134,Mnu!$E$20:$F$37,2,FALSE)," ")</f>
        <v>4000</v>
      </c>
      <c r="K134" s="228">
        <v>1</v>
      </c>
      <c r="L134" s="56"/>
    </row>
    <row r="135" spans="1:12" ht="14.25" customHeight="1">
      <c r="A135" s="99">
        <v>134</v>
      </c>
      <c r="B135" s="100" t="str">
        <f t="shared" si="2"/>
        <v>LED_Flood_Light-Flood Light-1X-100W</v>
      </c>
      <c r="C135" s="225" t="s">
        <v>767</v>
      </c>
      <c r="D135" s="226" t="s">
        <v>82</v>
      </c>
      <c r="E135" s="227" t="s">
        <v>110</v>
      </c>
      <c r="F135" s="227" t="s">
        <v>111</v>
      </c>
      <c r="G135" s="62"/>
      <c r="H135" s="62" t="s">
        <v>98</v>
      </c>
      <c r="I135" s="63">
        <v>100</v>
      </c>
      <c r="J135" s="64">
        <f>IFERROR(K135*I135*VLOOKUP(C135,Mnu!$E$20:$F$37,2,FALSE)," ")</f>
        <v>8000</v>
      </c>
      <c r="K135" s="228">
        <v>1</v>
      </c>
      <c r="L135" s="56"/>
    </row>
    <row r="136" spans="1:12" ht="14.25" customHeight="1">
      <c r="A136" s="99">
        <v>135</v>
      </c>
      <c r="B136" s="100" t="str">
        <f t="shared" si="2"/>
        <v>LED_Flood_Light-Flood Light-1X-150W</v>
      </c>
      <c r="C136" s="225" t="s">
        <v>767</v>
      </c>
      <c r="D136" s="226" t="s">
        <v>82</v>
      </c>
      <c r="E136" s="227" t="s">
        <v>110</v>
      </c>
      <c r="F136" s="227" t="s">
        <v>111</v>
      </c>
      <c r="G136" s="62"/>
      <c r="H136" s="62" t="s">
        <v>98</v>
      </c>
      <c r="I136" s="63">
        <v>150</v>
      </c>
      <c r="J136" s="64">
        <f>IFERROR(K136*I136*VLOOKUP(C136,Mnu!$E$20:$F$37,2,FALSE)," ")</f>
        <v>12000</v>
      </c>
      <c r="K136" s="228">
        <v>1</v>
      </c>
      <c r="L136" s="56"/>
    </row>
    <row r="137" spans="1:12" ht="14.25" customHeight="1">
      <c r="A137" s="99">
        <v>136</v>
      </c>
      <c r="B137" s="100" t="str">
        <f t="shared" si="2"/>
        <v>LED_Flood_Light-Flood Light-1X-200W</v>
      </c>
      <c r="C137" s="225" t="s">
        <v>767</v>
      </c>
      <c r="D137" s="226" t="s">
        <v>82</v>
      </c>
      <c r="E137" s="227" t="s">
        <v>110</v>
      </c>
      <c r="F137" s="227" t="s">
        <v>111</v>
      </c>
      <c r="G137" s="62"/>
      <c r="H137" s="62" t="s">
        <v>98</v>
      </c>
      <c r="I137" s="63">
        <v>200</v>
      </c>
      <c r="J137" s="64">
        <f>IFERROR(K137*I137*VLOOKUP(C137,Mnu!$E$20:$F$37,2,FALSE)," ")</f>
        <v>16000</v>
      </c>
      <c r="K137" s="228">
        <v>1</v>
      </c>
      <c r="L137" s="56"/>
    </row>
    <row r="138" spans="1:12" ht="14.25" customHeight="1">
      <c r="A138" s="99">
        <v>137</v>
      </c>
      <c r="B138" s="100" t="str">
        <f t="shared" si="2"/>
        <v>LED_Flood_Light-Flood Light-1X-250W</v>
      </c>
      <c r="C138" s="225" t="s">
        <v>767</v>
      </c>
      <c r="D138" s="226" t="s">
        <v>82</v>
      </c>
      <c r="E138" s="227" t="s">
        <v>110</v>
      </c>
      <c r="F138" s="227" t="s">
        <v>111</v>
      </c>
      <c r="G138" s="62"/>
      <c r="H138" s="62" t="s">
        <v>98</v>
      </c>
      <c r="I138" s="63">
        <v>250</v>
      </c>
      <c r="J138" s="64">
        <f>IFERROR(K138*I138*VLOOKUP(C138,Mnu!$E$20:$F$37,2,FALSE)," ")</f>
        <v>20000</v>
      </c>
      <c r="K138" s="228">
        <v>1</v>
      </c>
      <c r="L138" s="56"/>
    </row>
    <row r="139" spans="1:12" ht="14.25" customHeight="1">
      <c r="A139" s="99">
        <v>138</v>
      </c>
      <c r="B139" s="100" t="str">
        <f t="shared" si="2"/>
        <v>LED_Flood_Light-Flood Light-1X-300W</v>
      </c>
      <c r="C139" s="225" t="s">
        <v>767</v>
      </c>
      <c r="D139" s="226" t="s">
        <v>82</v>
      </c>
      <c r="E139" s="227" t="s">
        <v>110</v>
      </c>
      <c r="F139" s="227" t="s">
        <v>111</v>
      </c>
      <c r="G139" s="62"/>
      <c r="H139" s="62" t="s">
        <v>98</v>
      </c>
      <c r="I139" s="63">
        <v>300</v>
      </c>
      <c r="J139" s="64">
        <f>IFERROR(K139*I139*VLOOKUP(C139,Mnu!$E$20:$F$37,2,FALSE)," ")</f>
        <v>24000</v>
      </c>
      <c r="K139" s="228">
        <v>1</v>
      </c>
      <c r="L139" s="56"/>
    </row>
    <row r="140" spans="1:12" ht="14.25" customHeight="1">
      <c r="A140" s="99">
        <v>139</v>
      </c>
      <c r="B140" s="100" t="str">
        <f t="shared" si="2"/>
        <v>LED_Flood_Light-Flood Light-1X-400W</v>
      </c>
      <c r="C140" s="225" t="s">
        <v>767</v>
      </c>
      <c r="D140" s="226" t="s">
        <v>82</v>
      </c>
      <c r="E140" s="227" t="s">
        <v>110</v>
      </c>
      <c r="F140" s="227" t="s">
        <v>111</v>
      </c>
      <c r="G140" s="62"/>
      <c r="H140" s="62" t="s">
        <v>98</v>
      </c>
      <c r="I140" s="63">
        <v>400</v>
      </c>
      <c r="J140" s="64">
        <f>IFERROR(K140*I140*VLOOKUP(C140,Mnu!$E$20:$F$37,2,FALSE)," ")</f>
        <v>32000</v>
      </c>
      <c r="K140" s="228">
        <v>1</v>
      </c>
      <c r="L140" s="56"/>
    </row>
    <row r="141" spans="1:12" ht="14.25" customHeight="1">
      <c r="A141" s="99">
        <v>140</v>
      </c>
      <c r="B141" s="100" t="str">
        <f t="shared" si="2"/>
        <v>LED_High_Bay-High Bay-1X-200W</v>
      </c>
      <c r="C141" s="225" t="s">
        <v>191</v>
      </c>
      <c r="D141" s="226" t="s">
        <v>82</v>
      </c>
      <c r="E141" s="227" t="s">
        <v>90</v>
      </c>
      <c r="F141" s="227" t="s">
        <v>118</v>
      </c>
      <c r="G141" s="62"/>
      <c r="H141" s="62" t="s">
        <v>98</v>
      </c>
      <c r="I141" s="63">
        <v>200</v>
      </c>
      <c r="J141" s="64">
        <f>IFERROR(K141*I141*VLOOKUP(C141,Mnu!$E$20:$F$37,2,FALSE)," ")</f>
        <v>16000</v>
      </c>
      <c r="K141" s="228">
        <v>1</v>
      </c>
      <c r="L141" s="56"/>
    </row>
    <row r="142" spans="1:12" ht="14.25" customHeight="1">
      <c r="A142" s="99">
        <v>141</v>
      </c>
      <c r="B142" s="100" t="str">
        <f t="shared" si="2"/>
        <v>LED_High_Bay-High Bay-1X-250W</v>
      </c>
      <c r="C142" s="225" t="s">
        <v>191</v>
      </c>
      <c r="D142" s="226" t="s">
        <v>82</v>
      </c>
      <c r="E142" s="227" t="s">
        <v>90</v>
      </c>
      <c r="F142" s="227" t="s">
        <v>118</v>
      </c>
      <c r="G142" s="62"/>
      <c r="H142" s="62" t="s">
        <v>98</v>
      </c>
      <c r="I142" s="63">
        <v>250</v>
      </c>
      <c r="J142" s="64">
        <f>IFERROR(K142*I142*VLOOKUP(C142,Mnu!$E$20:$F$37,2,FALSE)," ")</f>
        <v>20000</v>
      </c>
      <c r="K142" s="228">
        <v>1</v>
      </c>
      <c r="L142" s="56"/>
    </row>
    <row r="143" spans="1:12" ht="14.25" customHeight="1">
      <c r="A143" s="99">
        <v>142</v>
      </c>
      <c r="B143" s="100" t="str">
        <f t="shared" si="2"/>
        <v>LED_High_Bay-High Bay-1X-400W</v>
      </c>
      <c r="C143" s="225" t="s">
        <v>191</v>
      </c>
      <c r="D143" s="226" t="s">
        <v>82</v>
      </c>
      <c r="E143" s="227" t="s">
        <v>90</v>
      </c>
      <c r="F143" s="227" t="s">
        <v>118</v>
      </c>
      <c r="G143" s="62"/>
      <c r="H143" s="62" t="s">
        <v>98</v>
      </c>
      <c r="I143" s="63">
        <v>400</v>
      </c>
      <c r="J143" s="64">
        <f>IFERROR(K143*I143*VLOOKUP(C143,Mnu!$E$20:$F$37,2,FALSE)," ")</f>
        <v>32000</v>
      </c>
      <c r="K143" s="228">
        <v>1</v>
      </c>
      <c r="L143" s="56"/>
    </row>
    <row r="144" spans="1:12" ht="14.25" customHeight="1">
      <c r="A144" s="99">
        <v>143</v>
      </c>
      <c r="B144" s="100" t="str">
        <f t="shared" si="2"/>
        <v>LED_Street_Light-Street Light-1X-150W</v>
      </c>
      <c r="C144" s="225" t="s">
        <v>192</v>
      </c>
      <c r="D144" s="226" t="s">
        <v>82</v>
      </c>
      <c r="E144" s="227" t="s">
        <v>110</v>
      </c>
      <c r="F144" s="227" t="s">
        <v>117</v>
      </c>
      <c r="G144" s="63"/>
      <c r="H144" s="62" t="s">
        <v>98</v>
      </c>
      <c r="I144" s="63">
        <v>150</v>
      </c>
      <c r="J144" s="64">
        <f>IFERROR(K144*I144*VLOOKUP(C144,Mnu!$E$20:$F$37,2,FALSE)," ")</f>
        <v>12000</v>
      </c>
      <c r="K144" s="228">
        <v>1</v>
      </c>
      <c r="L144" s="56"/>
    </row>
    <row r="145" spans="1:12" ht="14.25" customHeight="1">
      <c r="A145" s="99">
        <v>144</v>
      </c>
      <c r="B145" s="100" t="str">
        <f t="shared" si="2"/>
        <v>LED_Street_Light-Street Light-1X-200W</v>
      </c>
      <c r="C145" s="225" t="s">
        <v>192</v>
      </c>
      <c r="D145" s="226" t="s">
        <v>82</v>
      </c>
      <c r="E145" s="227" t="s">
        <v>110</v>
      </c>
      <c r="F145" s="227" t="s">
        <v>117</v>
      </c>
      <c r="G145" s="63"/>
      <c r="H145" s="62" t="s">
        <v>98</v>
      </c>
      <c r="I145" s="63">
        <v>200</v>
      </c>
      <c r="J145" s="64">
        <f>IFERROR(K145*I145*VLOOKUP(C145,Mnu!$E$20:$F$37,2,FALSE)," ")</f>
        <v>16000</v>
      </c>
      <c r="K145" s="228">
        <v>1</v>
      </c>
      <c r="L145" s="56"/>
    </row>
    <row r="146" spans="1:12" ht="14.25" customHeight="1">
      <c r="A146" s="99">
        <v>145</v>
      </c>
      <c r="B146" s="100" t="str">
        <f t="shared" si="2"/>
        <v>LED_Street_Light-Street Light-1X-250W</v>
      </c>
      <c r="C146" s="225" t="s">
        <v>192</v>
      </c>
      <c r="D146" s="226" t="s">
        <v>82</v>
      </c>
      <c r="E146" s="227" t="s">
        <v>110</v>
      </c>
      <c r="F146" s="227" t="s">
        <v>117</v>
      </c>
      <c r="G146" s="63"/>
      <c r="H146" s="62" t="s">
        <v>98</v>
      </c>
      <c r="I146" s="63">
        <v>250</v>
      </c>
      <c r="J146" s="64">
        <f>IFERROR(K146*I146*VLOOKUP(C146,Mnu!$E$20:$F$37,2,FALSE)," ")</f>
        <v>20000</v>
      </c>
      <c r="K146" s="228">
        <v>1</v>
      </c>
      <c r="L146" s="56"/>
    </row>
    <row r="147" spans="1:12" ht="14.25" customHeight="1">
      <c r="A147" s="99">
        <v>146</v>
      </c>
      <c r="B147" s="100" t="str">
        <f t="shared" si="2"/>
        <v>LED_Street_Light-Street Light-1X-300W</v>
      </c>
      <c r="C147" s="225" t="s">
        <v>192</v>
      </c>
      <c r="D147" s="226" t="s">
        <v>82</v>
      </c>
      <c r="E147" s="227" t="s">
        <v>110</v>
      </c>
      <c r="F147" s="227" t="s">
        <v>117</v>
      </c>
      <c r="G147" s="63"/>
      <c r="H147" s="62" t="s">
        <v>98</v>
      </c>
      <c r="I147" s="63">
        <v>300</v>
      </c>
      <c r="J147" s="64">
        <f>IFERROR(K147*I147*VLOOKUP(C147,Mnu!$E$20:$F$37,2,FALSE)," ")</f>
        <v>24000</v>
      </c>
      <c r="K147" s="228">
        <v>1</v>
      </c>
      <c r="L147" s="56"/>
    </row>
    <row r="148" spans="1:12" ht="14.25" customHeight="1">
      <c r="A148" s="99">
        <v>147</v>
      </c>
      <c r="B148" s="100" t="str">
        <f t="shared" si="2"/>
        <v>LED_Stick-E27-1X-9W</v>
      </c>
      <c r="C148" s="225" t="s">
        <v>193</v>
      </c>
      <c r="D148" s="226" t="s">
        <v>82</v>
      </c>
      <c r="E148" s="227" t="s">
        <v>90</v>
      </c>
      <c r="F148" s="227" t="s">
        <v>104</v>
      </c>
      <c r="G148" s="63"/>
      <c r="H148" s="62" t="s">
        <v>98</v>
      </c>
      <c r="I148" s="63">
        <v>9</v>
      </c>
      <c r="J148" s="64">
        <f>IFERROR(K148*I148*VLOOKUP(C148,Mnu!$E$20:$F$37,2,FALSE)," ")</f>
        <v>675</v>
      </c>
      <c r="K148" s="228">
        <v>1</v>
      </c>
      <c r="L148" s="56"/>
    </row>
    <row r="149" spans="1:12" ht="14.25" customHeight="1">
      <c r="A149" s="99">
        <v>148</v>
      </c>
      <c r="B149" s="100" t="str">
        <f t="shared" si="2"/>
        <v>LED_Stick-E27-1X-12W</v>
      </c>
      <c r="C149" s="225" t="s">
        <v>193</v>
      </c>
      <c r="D149" s="226" t="s">
        <v>82</v>
      </c>
      <c r="E149" s="227" t="s">
        <v>90</v>
      </c>
      <c r="F149" s="227" t="s">
        <v>104</v>
      </c>
      <c r="G149" s="63"/>
      <c r="H149" s="62" t="s">
        <v>98</v>
      </c>
      <c r="I149" s="63">
        <v>12</v>
      </c>
      <c r="J149" s="64">
        <f>IFERROR(K149*I149*VLOOKUP(C149,Mnu!$E$20:$F$37,2,FALSE)," ")</f>
        <v>900</v>
      </c>
      <c r="K149" s="228">
        <v>1</v>
      </c>
      <c r="L149" s="56"/>
    </row>
    <row r="150" spans="1:12" ht="14.25" customHeight="1">
      <c r="A150" s="99">
        <v>149</v>
      </c>
      <c r="B150" s="100" t="str">
        <f t="shared" si="2"/>
        <v>LED_Stick-E27-1X-15W</v>
      </c>
      <c r="C150" s="225" t="s">
        <v>193</v>
      </c>
      <c r="D150" s="226" t="s">
        <v>82</v>
      </c>
      <c r="E150" s="227" t="s">
        <v>90</v>
      </c>
      <c r="F150" s="227" t="s">
        <v>104</v>
      </c>
      <c r="G150" s="63"/>
      <c r="H150" s="62" t="s">
        <v>98</v>
      </c>
      <c r="I150" s="63">
        <v>15</v>
      </c>
      <c r="J150" s="64">
        <f>IFERROR(K150*I150*VLOOKUP(C150,Mnu!$E$20:$F$37,2,FALSE)," ")</f>
        <v>1125</v>
      </c>
      <c r="K150" s="228">
        <v>1</v>
      </c>
      <c r="L150" s="56"/>
    </row>
    <row r="151" spans="1:12" ht="14.25" customHeight="1">
      <c r="A151" s="99">
        <v>150</v>
      </c>
      <c r="B151" s="100" t="str">
        <f t="shared" si="2"/>
        <v>LED_Candle_Light-E14-1X-9W</v>
      </c>
      <c r="C151" s="225" t="s">
        <v>194</v>
      </c>
      <c r="D151" s="226" t="s">
        <v>82</v>
      </c>
      <c r="E151" s="227" t="s">
        <v>90</v>
      </c>
      <c r="F151" s="227" t="s">
        <v>108</v>
      </c>
      <c r="G151" s="63"/>
      <c r="H151" s="62" t="s">
        <v>98</v>
      </c>
      <c r="I151" s="63">
        <v>9</v>
      </c>
      <c r="J151" s="64">
        <f>IFERROR(K151*I151*VLOOKUP(C151,Mnu!$E$20:$F$37,2,FALSE)," ")</f>
        <v>630</v>
      </c>
      <c r="K151" s="228">
        <v>1</v>
      </c>
      <c r="L151" s="56"/>
    </row>
    <row r="152" spans="1:12" ht="14.25" customHeight="1">
      <c r="A152" s="99">
        <v>151</v>
      </c>
      <c r="B152" s="100" t="str">
        <f t="shared" si="2"/>
        <v>Conv-CFL-2Pin-1X-13W</v>
      </c>
      <c r="C152" s="225" t="s">
        <v>93</v>
      </c>
      <c r="D152" s="226" t="s">
        <v>81</v>
      </c>
      <c r="E152" s="227" t="s">
        <v>90</v>
      </c>
      <c r="F152" s="227" t="s">
        <v>106</v>
      </c>
      <c r="G152" s="63"/>
      <c r="H152" s="63" t="s">
        <v>98</v>
      </c>
      <c r="I152" s="63">
        <v>13</v>
      </c>
      <c r="J152" s="64">
        <f>IFERROR(K152*I152*VLOOKUP(C152,Mnu!$E$20:$F$37,2,FALSE)," ")</f>
        <v>650</v>
      </c>
      <c r="K152" s="228">
        <v>1</v>
      </c>
      <c r="L152" s="156"/>
    </row>
    <row r="153" spans="1:12" ht="14.25" customHeight="1">
      <c r="A153" s="99">
        <v>152</v>
      </c>
      <c r="B153" s="100" t="str">
        <f t="shared" si="2"/>
        <v>Conv-CFL-2Pin-1X-18W</v>
      </c>
      <c r="C153" s="225" t="s">
        <v>93</v>
      </c>
      <c r="D153" s="226" t="s">
        <v>81</v>
      </c>
      <c r="E153" s="227" t="s">
        <v>90</v>
      </c>
      <c r="F153" s="227" t="s">
        <v>106</v>
      </c>
      <c r="G153" s="63"/>
      <c r="H153" s="63" t="s">
        <v>98</v>
      </c>
      <c r="I153" s="63">
        <v>18</v>
      </c>
      <c r="J153" s="64">
        <f>IFERROR(K153*I153*VLOOKUP(C153,Mnu!$E$20:$F$37,2,FALSE)," ")</f>
        <v>900</v>
      </c>
      <c r="K153" s="228">
        <v>1</v>
      </c>
      <c r="L153" s="156"/>
    </row>
    <row r="154" spans="1:12" ht="14.25" customHeight="1">
      <c r="A154" s="99">
        <v>153</v>
      </c>
      <c r="B154" s="100" t="str">
        <f t="shared" si="2"/>
        <v>Conv-CFL-2Pin-1X-24W</v>
      </c>
      <c r="C154" s="225" t="s">
        <v>93</v>
      </c>
      <c r="D154" s="226" t="s">
        <v>81</v>
      </c>
      <c r="E154" s="227" t="s">
        <v>90</v>
      </c>
      <c r="F154" s="227" t="s">
        <v>106</v>
      </c>
      <c r="G154" s="63"/>
      <c r="H154" s="63" t="s">
        <v>98</v>
      </c>
      <c r="I154" s="63">
        <v>24</v>
      </c>
      <c r="J154" s="64">
        <f>IFERROR(K154*I154*VLOOKUP(C154,Mnu!$E$20:$F$37,2,FALSE)," ")</f>
        <v>1200</v>
      </c>
      <c r="K154" s="228">
        <v>1</v>
      </c>
      <c r="L154" s="156"/>
    </row>
    <row r="155" spans="1:12" ht="14.25" customHeight="1">
      <c r="A155" s="99">
        <v>154</v>
      </c>
      <c r="B155" s="100" t="str">
        <f t="shared" si="2"/>
        <v>Conv-CFL-2Pin-1X-26W</v>
      </c>
      <c r="C155" s="225" t="s">
        <v>93</v>
      </c>
      <c r="D155" s="226" t="s">
        <v>81</v>
      </c>
      <c r="E155" s="227" t="s">
        <v>90</v>
      </c>
      <c r="F155" s="227" t="s">
        <v>106</v>
      </c>
      <c r="G155" s="63"/>
      <c r="H155" s="63" t="s">
        <v>98</v>
      </c>
      <c r="I155" s="63">
        <v>26</v>
      </c>
      <c r="J155" s="64">
        <f>IFERROR(K155*I155*VLOOKUP(C155,Mnu!$E$20:$F$37,2,FALSE)," ")</f>
        <v>1300</v>
      </c>
      <c r="K155" s="228">
        <v>1</v>
      </c>
      <c r="L155" s="156"/>
    </row>
    <row r="156" spans="1:12" ht="14.25" customHeight="1">
      <c r="A156" s="99">
        <v>155</v>
      </c>
      <c r="B156" s="100" t="str">
        <f t="shared" si="2"/>
        <v>Conv-CFL-4Pin-1X-18W</v>
      </c>
      <c r="C156" s="225" t="s">
        <v>93</v>
      </c>
      <c r="D156" s="226" t="s">
        <v>81</v>
      </c>
      <c r="E156" s="227" t="s">
        <v>90</v>
      </c>
      <c r="F156" s="227" t="s">
        <v>907</v>
      </c>
      <c r="G156" s="63"/>
      <c r="H156" s="63" t="s">
        <v>98</v>
      </c>
      <c r="I156" s="63">
        <v>18</v>
      </c>
      <c r="J156" s="64">
        <f>IFERROR(K156*I156*VLOOKUP(C156,Mnu!$E$20:$F$37,2,FALSE)," ")</f>
        <v>900</v>
      </c>
      <c r="K156" s="228">
        <v>1</v>
      </c>
      <c r="L156" s="156"/>
    </row>
    <row r="157" spans="1:12" ht="14.25" customHeight="1">
      <c r="A157" s="99">
        <v>156</v>
      </c>
      <c r="B157" s="100" t="str">
        <f t="shared" si="2"/>
        <v>Conv-CFL-4Pin-1X-26W</v>
      </c>
      <c r="C157" s="225" t="s">
        <v>93</v>
      </c>
      <c r="D157" s="226" t="s">
        <v>81</v>
      </c>
      <c r="E157" s="227" t="s">
        <v>90</v>
      </c>
      <c r="F157" s="227" t="s">
        <v>907</v>
      </c>
      <c r="G157" s="63"/>
      <c r="H157" s="63" t="s">
        <v>98</v>
      </c>
      <c r="I157" s="63">
        <v>26</v>
      </c>
      <c r="J157" s="64">
        <f>IFERROR(K157*I157*VLOOKUP(C157,Mnu!$E$20:$F$37,2,FALSE)," ")</f>
        <v>1300</v>
      </c>
      <c r="K157" s="228">
        <v>1</v>
      </c>
      <c r="L157" s="156"/>
    </row>
    <row r="158" spans="1:12" ht="14.25" customHeight="1">
      <c r="A158" s="99">
        <v>157</v>
      </c>
      <c r="B158" s="100" t="str">
        <f t="shared" si="2"/>
        <v>Conv-CFL-4Pin-1X-110W</v>
      </c>
      <c r="C158" s="225" t="s">
        <v>93</v>
      </c>
      <c r="D158" s="226" t="s">
        <v>81</v>
      </c>
      <c r="E158" s="227" t="s">
        <v>90</v>
      </c>
      <c r="F158" s="227" t="s">
        <v>907</v>
      </c>
      <c r="G158" s="63"/>
      <c r="H158" s="63" t="s">
        <v>98</v>
      </c>
      <c r="I158" s="63">
        <v>110</v>
      </c>
      <c r="J158" s="64">
        <f>IFERROR(K158*I158*VLOOKUP(C158,Mnu!$E$20:$F$37,2,FALSE)," ")</f>
        <v>5500</v>
      </c>
      <c r="K158" s="228">
        <v>1</v>
      </c>
      <c r="L158" s="156"/>
    </row>
    <row r="159" spans="1:12" ht="14.25" customHeight="1">
      <c r="A159" s="99">
        <v>158</v>
      </c>
      <c r="B159" s="100" t="str">
        <f t="shared" si="2"/>
        <v>Conv-CFL-4Pin-1X-13W</v>
      </c>
      <c r="C159" s="225" t="s">
        <v>93</v>
      </c>
      <c r="D159" s="226" t="s">
        <v>81</v>
      </c>
      <c r="E159" s="227" t="s">
        <v>90</v>
      </c>
      <c r="F159" s="227" t="s">
        <v>907</v>
      </c>
      <c r="G159" s="63"/>
      <c r="H159" s="63" t="s">
        <v>98</v>
      </c>
      <c r="I159" s="63">
        <v>13</v>
      </c>
      <c r="J159" s="64">
        <f>IFERROR(K159*I159*VLOOKUP(C159,Mnu!$E$20:$F$37,2,FALSE)," ")</f>
        <v>650</v>
      </c>
      <c r="K159" s="228">
        <v>1</v>
      </c>
      <c r="L159" s="156"/>
    </row>
    <row r="160" spans="1:12" ht="14.25" customHeight="1">
      <c r="A160" s="99">
        <v>159</v>
      </c>
      <c r="B160" s="100" t="str">
        <f t="shared" si="2"/>
        <v>Conv-CFL-4Pin-1X-24W</v>
      </c>
      <c r="C160" s="225" t="s">
        <v>93</v>
      </c>
      <c r="D160" s="226" t="s">
        <v>81</v>
      </c>
      <c r="E160" s="227" t="s">
        <v>90</v>
      </c>
      <c r="F160" s="227" t="s">
        <v>907</v>
      </c>
      <c r="G160" s="63"/>
      <c r="H160" s="63" t="s">
        <v>98</v>
      </c>
      <c r="I160" s="63">
        <v>24</v>
      </c>
      <c r="J160" s="64">
        <f>IFERROR(K160*I160*VLOOKUP(C160,Mnu!$E$20:$F$37,2,FALSE)," ")</f>
        <v>1200</v>
      </c>
      <c r="K160" s="228">
        <v>1</v>
      </c>
      <c r="L160" s="156"/>
    </row>
    <row r="161" spans="1:12" ht="14.25" customHeight="1">
      <c r="A161" s="99">
        <v>160</v>
      </c>
      <c r="B161" s="100" t="str">
        <f t="shared" si="2"/>
        <v>Conv-CFL-4Pin-1X-27W</v>
      </c>
      <c r="C161" s="225" t="s">
        <v>93</v>
      </c>
      <c r="D161" s="226" t="s">
        <v>81</v>
      </c>
      <c r="E161" s="227" t="s">
        <v>90</v>
      </c>
      <c r="F161" s="227" t="s">
        <v>907</v>
      </c>
      <c r="G161" s="63"/>
      <c r="H161" s="63" t="s">
        <v>98</v>
      </c>
      <c r="I161" s="63">
        <v>27</v>
      </c>
      <c r="J161" s="64">
        <f>IFERROR(K161*I161*VLOOKUP(C161,Mnu!$E$20:$F$37,2,FALSE)," ")</f>
        <v>1350</v>
      </c>
      <c r="K161" s="228">
        <v>1</v>
      </c>
      <c r="L161" s="156"/>
    </row>
    <row r="162" spans="1:12" ht="14.25" customHeight="1">
      <c r="A162" s="99">
        <v>161</v>
      </c>
      <c r="B162" s="100" t="str">
        <f t="shared" si="2"/>
        <v>Conv-CFL-4Pin-1X-28W</v>
      </c>
      <c r="C162" s="225" t="s">
        <v>93</v>
      </c>
      <c r="D162" s="226" t="s">
        <v>81</v>
      </c>
      <c r="E162" s="227" t="s">
        <v>90</v>
      </c>
      <c r="F162" s="227" t="s">
        <v>907</v>
      </c>
      <c r="G162" s="63"/>
      <c r="H162" s="63" t="s">
        <v>98</v>
      </c>
      <c r="I162" s="63">
        <v>28</v>
      </c>
      <c r="J162" s="64">
        <f>IFERROR(K162*I162*VLOOKUP(C162,Mnu!$E$20:$F$37,2,FALSE)," ")</f>
        <v>1400</v>
      </c>
      <c r="K162" s="228">
        <v>1</v>
      </c>
      <c r="L162" s="156"/>
    </row>
    <row r="163" spans="1:12" ht="14.25" customHeight="1">
      <c r="A163" s="99">
        <v>162</v>
      </c>
      <c r="B163" s="100" t="str">
        <f t="shared" si="2"/>
        <v>Conv-CFL-4Pin-1X-35W</v>
      </c>
      <c r="C163" s="225" t="s">
        <v>93</v>
      </c>
      <c r="D163" s="226" t="s">
        <v>81</v>
      </c>
      <c r="E163" s="227" t="s">
        <v>90</v>
      </c>
      <c r="F163" s="227" t="s">
        <v>907</v>
      </c>
      <c r="G163" s="63"/>
      <c r="H163" s="63" t="s">
        <v>98</v>
      </c>
      <c r="I163" s="63">
        <v>35</v>
      </c>
      <c r="J163" s="64">
        <f>IFERROR(K163*I163*VLOOKUP(C163,Mnu!$E$20:$F$37,2,FALSE)," ")</f>
        <v>1750</v>
      </c>
      <c r="K163" s="228">
        <v>1</v>
      </c>
      <c r="L163" s="156"/>
    </row>
    <row r="164" spans="1:12" ht="14.25" customHeight="1">
      <c r="A164" s="99">
        <v>163</v>
      </c>
      <c r="B164" s="100" t="str">
        <f t="shared" si="2"/>
        <v>Conv-CFL-4Pin-1X-55W</v>
      </c>
      <c r="C164" s="225" t="s">
        <v>93</v>
      </c>
      <c r="D164" s="226" t="s">
        <v>81</v>
      </c>
      <c r="E164" s="227" t="s">
        <v>90</v>
      </c>
      <c r="F164" s="227" t="s">
        <v>907</v>
      </c>
      <c r="G164" s="63"/>
      <c r="H164" s="63" t="s">
        <v>98</v>
      </c>
      <c r="I164" s="63">
        <v>55</v>
      </c>
      <c r="J164" s="64">
        <f>IFERROR(K164*I164*VLOOKUP(C164,Mnu!$E$20:$F$37,2,FALSE)," ")</f>
        <v>2750</v>
      </c>
      <c r="K164" s="228">
        <v>1</v>
      </c>
      <c r="L164" s="156"/>
    </row>
    <row r="165" spans="1:12" ht="14.25" customHeight="1">
      <c r="A165" s="99">
        <v>164</v>
      </c>
      <c r="B165" s="100" t="str">
        <f t="shared" si="2"/>
        <v>Conv-Candle-E14-1X-30W</v>
      </c>
      <c r="C165" s="225" t="s">
        <v>107</v>
      </c>
      <c r="D165" s="226" t="s">
        <v>81</v>
      </c>
      <c r="E165" s="227" t="s">
        <v>90</v>
      </c>
      <c r="F165" s="227" t="s">
        <v>108</v>
      </c>
      <c r="G165" s="63"/>
      <c r="H165" s="63" t="s">
        <v>98</v>
      </c>
      <c r="I165" s="63">
        <v>30</v>
      </c>
      <c r="J165" s="64">
        <f>IFERROR(K165*I165*VLOOKUP(C165,Mnu!$E$20:$F$37,2,FALSE)," ")</f>
        <v>300</v>
      </c>
      <c r="K165" s="228">
        <v>1</v>
      </c>
      <c r="L165" s="156"/>
    </row>
    <row r="166" spans="1:12" ht="14.25" customHeight="1">
      <c r="A166" s="99">
        <v>165</v>
      </c>
      <c r="B166" s="100" t="str">
        <f t="shared" si="2"/>
        <v>Conv-Candle-E14-1X-5W</v>
      </c>
      <c r="C166" s="225" t="s">
        <v>107</v>
      </c>
      <c r="D166" s="226" t="s">
        <v>81</v>
      </c>
      <c r="E166" s="227" t="s">
        <v>90</v>
      </c>
      <c r="F166" s="227" t="s">
        <v>108</v>
      </c>
      <c r="G166" s="63"/>
      <c r="H166" s="63" t="s">
        <v>98</v>
      </c>
      <c r="I166" s="63">
        <v>5</v>
      </c>
      <c r="J166" s="64">
        <f>IFERROR(K166*I166*VLOOKUP(C166,Mnu!$E$20:$F$37,2,FALSE)," ")</f>
        <v>50</v>
      </c>
      <c r="K166" s="228">
        <v>1</v>
      </c>
      <c r="L166" s="156"/>
    </row>
    <row r="167" spans="1:12" ht="14.25" customHeight="1">
      <c r="A167" s="99">
        <v>166</v>
      </c>
      <c r="B167" s="100" t="str">
        <f t="shared" si="2"/>
        <v>LED_Downlight-8''-1X-35W</v>
      </c>
      <c r="C167" s="225" t="s">
        <v>190</v>
      </c>
      <c r="D167" s="226" t="s">
        <v>82</v>
      </c>
      <c r="E167" s="227" t="s">
        <v>90</v>
      </c>
      <c r="F167" s="227" t="s">
        <v>125</v>
      </c>
      <c r="G167" s="63"/>
      <c r="H167" s="63" t="s">
        <v>98</v>
      </c>
      <c r="I167" s="63">
        <v>35</v>
      </c>
      <c r="J167" s="64">
        <f>IFERROR(K167*I167*VLOOKUP(C167,Mnu!$E$20:$F$37,2,FALSE)," ")</f>
        <v>2625</v>
      </c>
      <c r="K167" s="228">
        <v>1</v>
      </c>
      <c r="L167" s="156"/>
    </row>
    <row r="168" spans="1:12" ht="14.25" customHeight="1">
      <c r="A168" s="99">
        <v>167</v>
      </c>
      <c r="B168" s="100" t="str">
        <f t="shared" si="2"/>
        <v>LED_Downlight-8''-1X-27W</v>
      </c>
      <c r="C168" s="225" t="s">
        <v>190</v>
      </c>
      <c r="D168" s="226" t="s">
        <v>82</v>
      </c>
      <c r="E168" s="227" t="s">
        <v>90</v>
      </c>
      <c r="F168" s="227" t="s">
        <v>125</v>
      </c>
      <c r="G168" s="63"/>
      <c r="H168" s="63" t="s">
        <v>98</v>
      </c>
      <c r="I168" s="63">
        <v>27</v>
      </c>
      <c r="J168" s="64">
        <f>IFERROR(K168*I168*VLOOKUP(C168,Mnu!$E$20:$F$37,2,FALSE)," ")</f>
        <v>2025</v>
      </c>
      <c r="K168" s="228">
        <v>1</v>
      </c>
      <c r="L168" s="156"/>
    </row>
    <row r="169" spans="1:12" ht="14.25" customHeight="1">
      <c r="A169" s="99">
        <v>168</v>
      </c>
      <c r="B169" s="100" t="str">
        <f t="shared" si="2"/>
        <v>Conv-Halogen-Flood Light-1X-70W</v>
      </c>
      <c r="C169" s="225" t="s">
        <v>142</v>
      </c>
      <c r="D169" s="226" t="s">
        <v>81</v>
      </c>
      <c r="E169" s="227" t="s">
        <v>110</v>
      </c>
      <c r="F169" s="227" t="s">
        <v>111</v>
      </c>
      <c r="G169" s="63"/>
      <c r="H169" s="63" t="s">
        <v>98</v>
      </c>
      <c r="I169" s="63">
        <v>70</v>
      </c>
      <c r="J169" s="64">
        <f>IFERROR(K169*I169*VLOOKUP(C169,Mnu!$E$20:$F$37,2,FALSE)," ")</f>
        <v>700</v>
      </c>
      <c r="K169" s="228">
        <v>1</v>
      </c>
      <c r="L169" s="156"/>
    </row>
    <row r="170" spans="1:12" ht="14.25" customHeight="1">
      <c r="A170" s="99">
        <v>169</v>
      </c>
      <c r="B170" s="100" t="str">
        <f t="shared" si="2"/>
        <v>Conv-HPS-Street Light-1X-70W</v>
      </c>
      <c r="C170" s="225" t="s">
        <v>116</v>
      </c>
      <c r="D170" s="226" t="s">
        <v>81</v>
      </c>
      <c r="E170" s="227" t="s">
        <v>110</v>
      </c>
      <c r="F170" s="227" t="s">
        <v>117</v>
      </c>
      <c r="G170" s="63"/>
      <c r="H170" s="63" t="s">
        <v>98</v>
      </c>
      <c r="I170" s="63">
        <v>70</v>
      </c>
      <c r="J170" s="64">
        <f>IFERROR(K170*I170*VLOOKUP(C170,Mnu!$E$20:$F$37,2,FALSE)," ")</f>
        <v>3500</v>
      </c>
      <c r="K170" s="228">
        <v>1</v>
      </c>
      <c r="L170" s="156"/>
    </row>
    <row r="171" spans="1:12" ht="14.25" customHeight="1">
      <c r="A171" s="99">
        <v>170</v>
      </c>
      <c r="B171" s="100" t="str">
        <f t="shared" si="2"/>
        <v>Conv-HPS-Street Light-1X-125W</v>
      </c>
      <c r="C171" s="225" t="s">
        <v>116</v>
      </c>
      <c r="D171" s="226" t="s">
        <v>81</v>
      </c>
      <c r="E171" s="227" t="s">
        <v>110</v>
      </c>
      <c r="F171" s="227" t="s">
        <v>117</v>
      </c>
      <c r="G171" s="63"/>
      <c r="H171" s="63" t="s">
        <v>98</v>
      </c>
      <c r="I171" s="63">
        <v>125</v>
      </c>
      <c r="J171" s="64">
        <f>IFERROR(K171*I171*VLOOKUP(C171,Mnu!$E$20:$F$37,2,FALSE)," ")</f>
        <v>6250</v>
      </c>
      <c r="K171" s="228">
        <v>1</v>
      </c>
      <c r="L171" s="156"/>
    </row>
    <row r="172" spans="1:12" ht="14.25" customHeight="1">
      <c r="A172" s="99">
        <v>171</v>
      </c>
      <c r="B172" s="100" t="str">
        <f t="shared" si="2"/>
        <v>Conv-HPS-Street Light-1X-150W</v>
      </c>
      <c r="C172" s="225" t="s">
        <v>116</v>
      </c>
      <c r="D172" s="226" t="s">
        <v>81</v>
      </c>
      <c r="E172" s="227" t="s">
        <v>110</v>
      </c>
      <c r="F172" s="227" t="s">
        <v>117</v>
      </c>
      <c r="G172" s="63"/>
      <c r="H172" s="63" t="s">
        <v>98</v>
      </c>
      <c r="I172" s="63">
        <v>150</v>
      </c>
      <c r="J172" s="64">
        <f>IFERROR(K172*I172*VLOOKUP(C172,Mnu!$E$20:$F$37,2,FALSE)," ")</f>
        <v>7500</v>
      </c>
      <c r="K172" s="228">
        <v>1</v>
      </c>
      <c r="L172" s="156"/>
    </row>
    <row r="173" spans="1:12" ht="14.25" customHeight="1">
      <c r="A173" s="99">
        <v>172</v>
      </c>
      <c r="B173" s="100" t="str">
        <f t="shared" si="2"/>
        <v>LED_High_Bay-High Bay-1X-30W</v>
      </c>
      <c r="C173" s="225" t="s">
        <v>191</v>
      </c>
      <c r="D173" s="226" t="s">
        <v>82</v>
      </c>
      <c r="E173" s="227" t="s">
        <v>110</v>
      </c>
      <c r="F173" s="227" t="s">
        <v>118</v>
      </c>
      <c r="G173" s="63"/>
      <c r="H173" s="63" t="s">
        <v>98</v>
      </c>
      <c r="I173" s="63">
        <v>30</v>
      </c>
      <c r="J173" s="64">
        <f>IFERROR(K173*I173*VLOOKUP(C173,Mnu!$E$20:$F$37,2,FALSE)," ")</f>
        <v>2400</v>
      </c>
      <c r="K173" s="228">
        <v>1</v>
      </c>
      <c r="L173" s="156"/>
    </row>
    <row r="174" spans="1:12" ht="14.25" customHeight="1">
      <c r="A174" s="99">
        <v>173</v>
      </c>
      <c r="B174" s="100" t="str">
        <f t="shared" si="2"/>
        <v>LED_High_Bay-High Bay-1X-150W</v>
      </c>
      <c r="C174" s="225" t="s">
        <v>191</v>
      </c>
      <c r="D174" s="226" t="s">
        <v>82</v>
      </c>
      <c r="E174" s="227" t="s">
        <v>110</v>
      </c>
      <c r="F174" s="227" t="s">
        <v>118</v>
      </c>
      <c r="G174" s="63"/>
      <c r="H174" s="63" t="s">
        <v>98</v>
      </c>
      <c r="I174" s="63">
        <v>150</v>
      </c>
      <c r="J174" s="64">
        <f>IFERROR(K174*I174*VLOOKUP(C174,Mnu!$E$20:$F$37,2,FALSE)," ")</f>
        <v>12000</v>
      </c>
      <c r="K174" s="228">
        <v>1</v>
      </c>
      <c r="L174" s="156"/>
    </row>
    <row r="175" spans="1:12" ht="14.25" customHeight="1">
      <c r="A175" s="99">
        <v>174</v>
      </c>
      <c r="B175" s="100" t="str">
        <f t="shared" si="2"/>
        <v>LED_Panel_light-60X60-1X-72W</v>
      </c>
      <c r="C175" s="225" t="s">
        <v>766</v>
      </c>
      <c r="D175" s="226" t="s">
        <v>82</v>
      </c>
      <c r="E175" s="227" t="s">
        <v>90</v>
      </c>
      <c r="F175" s="227" t="s">
        <v>122</v>
      </c>
      <c r="G175" s="63"/>
      <c r="H175" s="63" t="s">
        <v>98</v>
      </c>
      <c r="I175" s="63">
        <v>72</v>
      </c>
      <c r="J175" s="64">
        <f>IFERROR(K175*I175*VLOOKUP(C175,Mnu!$E$20:$F$37,2,FALSE)," ")</f>
        <v>5400</v>
      </c>
      <c r="K175" s="228">
        <v>1</v>
      </c>
      <c r="L175" s="156"/>
    </row>
    <row r="176" spans="1:12" ht="14.25" customHeight="1">
      <c r="A176" s="99">
        <v>175</v>
      </c>
      <c r="B176" s="100" t="str">
        <f t="shared" si="2"/>
        <v>LED_Panel_light-60X60-1X-96W</v>
      </c>
      <c r="C176" s="225" t="s">
        <v>766</v>
      </c>
      <c r="D176" s="226" t="s">
        <v>82</v>
      </c>
      <c r="E176" s="227" t="s">
        <v>90</v>
      </c>
      <c r="F176" s="227" t="s">
        <v>122</v>
      </c>
      <c r="G176" s="63"/>
      <c r="H176" s="63" t="s">
        <v>98</v>
      </c>
      <c r="I176" s="63">
        <v>96</v>
      </c>
      <c r="J176" s="64">
        <f>IFERROR(K176*I176*VLOOKUP(C176,Mnu!$E$20:$F$37,2,FALSE)," ")</f>
        <v>7200</v>
      </c>
      <c r="K176" s="228">
        <v>1</v>
      </c>
      <c r="L176" s="156"/>
    </row>
    <row r="177" spans="1:12" ht="14.25" customHeight="1">
      <c r="A177" s="99">
        <v>176</v>
      </c>
      <c r="B177" s="100" t="str">
        <f t="shared" si="2"/>
        <v>LED_Panel_light-60X60-1X-36W</v>
      </c>
      <c r="C177" s="225" t="s">
        <v>766</v>
      </c>
      <c r="D177" s="226" t="s">
        <v>82</v>
      </c>
      <c r="E177" s="227" t="s">
        <v>90</v>
      </c>
      <c r="F177" s="227" t="s">
        <v>122</v>
      </c>
      <c r="G177" s="63"/>
      <c r="H177" s="63" t="s">
        <v>98</v>
      </c>
      <c r="I177" s="63">
        <v>36</v>
      </c>
      <c r="J177" s="64">
        <f>IFERROR(K177*I177*VLOOKUP(C177,Mnu!$E$20:$F$37,2,FALSE)," ")</f>
        <v>2700</v>
      </c>
      <c r="K177" s="228">
        <v>1</v>
      </c>
      <c r="L177" s="156"/>
    </row>
    <row r="178" spans="1:12" ht="14.25" customHeight="1">
      <c r="A178" s="99">
        <v>177</v>
      </c>
      <c r="B178" s="100" t="str">
        <f t="shared" si="2"/>
        <v>LED_Panel_light-60X60-1X-45W</v>
      </c>
      <c r="C178" s="225" t="s">
        <v>766</v>
      </c>
      <c r="D178" s="226" t="s">
        <v>82</v>
      </c>
      <c r="E178" s="227" t="s">
        <v>90</v>
      </c>
      <c r="F178" s="227" t="s">
        <v>122</v>
      </c>
      <c r="G178" s="63"/>
      <c r="H178" s="63" t="s">
        <v>98</v>
      </c>
      <c r="I178" s="63">
        <v>45</v>
      </c>
      <c r="J178" s="64">
        <f>IFERROR(K178*I178*VLOOKUP(C178,Mnu!$E$20:$F$37,2,FALSE)," ")</f>
        <v>3375</v>
      </c>
      <c r="K178" s="228">
        <v>1</v>
      </c>
      <c r="L178" s="156"/>
    </row>
    <row r="179" spans="1:12" ht="14.25" customHeight="1">
      <c r="A179" s="99">
        <v>178</v>
      </c>
      <c r="B179" s="100" t="str">
        <f t="shared" si="2"/>
        <v>Conv-MV-E40-1X-110W</v>
      </c>
      <c r="C179" s="225" t="s">
        <v>114</v>
      </c>
      <c r="D179" s="226" t="s">
        <v>81</v>
      </c>
      <c r="E179" s="227" t="s">
        <v>90</v>
      </c>
      <c r="F179" s="227" t="s">
        <v>105</v>
      </c>
      <c r="G179" s="63"/>
      <c r="H179" s="63" t="s">
        <v>98</v>
      </c>
      <c r="I179" s="63">
        <v>110</v>
      </c>
      <c r="J179" s="64">
        <f>IFERROR(K179*I179*VLOOKUP(C179,Mnu!$E$20:$F$37,2,FALSE)," ")</f>
        <v>3850</v>
      </c>
      <c r="K179" s="228">
        <v>1</v>
      </c>
      <c r="L179" s="156"/>
    </row>
    <row r="180" spans="1:12" ht="14.25" customHeight="1">
      <c r="A180" s="99">
        <v>179</v>
      </c>
      <c r="B180" s="100" t="str">
        <f t="shared" si="2"/>
        <v>Conv-MV-E40-1X-125W</v>
      </c>
      <c r="C180" s="225" t="s">
        <v>114</v>
      </c>
      <c r="D180" s="226" t="s">
        <v>81</v>
      </c>
      <c r="E180" s="227" t="s">
        <v>90</v>
      </c>
      <c r="F180" s="227" t="s">
        <v>105</v>
      </c>
      <c r="G180" s="63"/>
      <c r="H180" s="63" t="s">
        <v>98</v>
      </c>
      <c r="I180" s="63">
        <v>125</v>
      </c>
      <c r="J180" s="64">
        <f>IFERROR(K180*I180*VLOOKUP(C180,Mnu!$E$20:$F$37,2,FALSE)," ")</f>
        <v>4375</v>
      </c>
      <c r="K180" s="228">
        <v>1</v>
      </c>
      <c r="L180" s="156"/>
    </row>
    <row r="181" spans="1:12" ht="14.25" customHeight="1">
      <c r="A181" s="99">
        <v>180</v>
      </c>
      <c r="B181" s="100" t="str">
        <f t="shared" si="2"/>
        <v>Conv-MV-E40-1X-35W</v>
      </c>
      <c r="C181" s="225" t="s">
        <v>114</v>
      </c>
      <c r="D181" s="226" t="s">
        <v>81</v>
      </c>
      <c r="E181" s="227" t="s">
        <v>90</v>
      </c>
      <c r="F181" s="227" t="s">
        <v>105</v>
      </c>
      <c r="G181" s="63"/>
      <c r="H181" s="63" t="s">
        <v>98</v>
      </c>
      <c r="I181" s="63">
        <v>35</v>
      </c>
      <c r="J181" s="64">
        <f>IFERROR(K181*I181*VLOOKUP(C181,Mnu!$E$20:$F$37,2,FALSE)," ")</f>
        <v>1225</v>
      </c>
      <c r="K181" s="228">
        <v>1</v>
      </c>
      <c r="L181" s="156"/>
    </row>
    <row r="182" spans="1:12" ht="14.25" customHeight="1">
      <c r="A182" s="99">
        <v>181</v>
      </c>
      <c r="B182" s="100" t="str">
        <f t="shared" si="2"/>
        <v>Conv-MV-E40-1X-40W</v>
      </c>
      <c r="C182" s="225" t="s">
        <v>114</v>
      </c>
      <c r="D182" s="226" t="s">
        <v>81</v>
      </c>
      <c r="E182" s="227" t="s">
        <v>90</v>
      </c>
      <c r="F182" s="227" t="s">
        <v>105</v>
      </c>
      <c r="G182" s="63"/>
      <c r="H182" s="63" t="s">
        <v>98</v>
      </c>
      <c r="I182" s="63">
        <v>40</v>
      </c>
      <c r="J182" s="64">
        <f>IFERROR(K182*I182*VLOOKUP(C182,Mnu!$E$20:$F$37,2,FALSE)," ")</f>
        <v>1400</v>
      </c>
      <c r="K182" s="228">
        <v>1</v>
      </c>
      <c r="L182" s="156"/>
    </row>
    <row r="183" spans="1:12" ht="14.25" customHeight="1">
      <c r="A183" s="99">
        <v>182</v>
      </c>
      <c r="B183" s="100" t="str">
        <f t="shared" si="2"/>
        <v>Conv-MV-E40-1X-50W</v>
      </c>
      <c r="C183" s="225" t="s">
        <v>114</v>
      </c>
      <c r="D183" s="226" t="s">
        <v>81</v>
      </c>
      <c r="E183" s="227" t="s">
        <v>90</v>
      </c>
      <c r="F183" s="227" t="s">
        <v>105</v>
      </c>
      <c r="G183" s="63"/>
      <c r="H183" s="63" t="s">
        <v>98</v>
      </c>
      <c r="I183" s="63">
        <v>50</v>
      </c>
      <c r="J183" s="64">
        <f>IFERROR(K183*I183*VLOOKUP(C183,Mnu!$E$20:$F$37,2,FALSE)," ")</f>
        <v>1750</v>
      </c>
      <c r="K183" s="228">
        <v>1</v>
      </c>
      <c r="L183" s="156"/>
    </row>
    <row r="184" spans="1:12" ht="14.25" customHeight="1">
      <c r="A184" s="99">
        <v>183</v>
      </c>
      <c r="B184" s="100" t="str">
        <f t="shared" si="2"/>
        <v>Conv-MH-E40-1X-35W</v>
      </c>
      <c r="C184" s="225" t="s">
        <v>109</v>
      </c>
      <c r="D184" s="226" t="s">
        <v>81</v>
      </c>
      <c r="E184" s="227" t="s">
        <v>90</v>
      </c>
      <c r="F184" s="227" t="s">
        <v>105</v>
      </c>
      <c r="G184" s="63"/>
      <c r="H184" s="63" t="s">
        <v>98</v>
      </c>
      <c r="I184" s="63">
        <v>35</v>
      </c>
      <c r="J184" s="64">
        <f>IFERROR(K184*I184*VLOOKUP(C184,Mnu!$E$20:$F$37,2,FALSE)," ")</f>
        <v>1750</v>
      </c>
      <c r="K184" s="228">
        <v>1</v>
      </c>
      <c r="L184" s="156"/>
    </row>
    <row r="185" spans="1:12" ht="14.25" customHeight="1">
      <c r="A185" s="99">
        <v>184</v>
      </c>
      <c r="B185" s="100" t="str">
        <f t="shared" si="2"/>
        <v>Conv-HPS-Street Light-1X-600W</v>
      </c>
      <c r="C185" s="225" t="s">
        <v>116</v>
      </c>
      <c r="D185" s="226" t="s">
        <v>81</v>
      </c>
      <c r="E185" s="227" t="s">
        <v>110</v>
      </c>
      <c r="F185" s="227" t="s">
        <v>117</v>
      </c>
      <c r="G185" s="63"/>
      <c r="H185" s="63" t="s">
        <v>98</v>
      </c>
      <c r="I185" s="63">
        <v>600</v>
      </c>
      <c r="J185" s="64">
        <f>IFERROR(K185*I185*VLOOKUP(C185,Mnu!$E$20:$F$37,2,FALSE)," ")</f>
        <v>30000</v>
      </c>
      <c r="K185" s="228">
        <v>1</v>
      </c>
      <c r="L185" s="156"/>
    </row>
    <row r="186" spans="1:12" ht="14.25" customHeight="1">
      <c r="A186" s="99">
        <v>185</v>
      </c>
      <c r="B186" s="100" t="str">
        <f t="shared" si="2"/>
        <v>Conv-CFL-E27-1X-11W</v>
      </c>
      <c r="C186" s="225" t="s">
        <v>93</v>
      </c>
      <c r="D186" s="226" t="s">
        <v>81</v>
      </c>
      <c r="E186" s="227" t="s">
        <v>90</v>
      </c>
      <c r="F186" s="227" t="s">
        <v>104</v>
      </c>
      <c r="G186" s="63"/>
      <c r="H186" s="63" t="s">
        <v>98</v>
      </c>
      <c r="I186" s="63">
        <v>11</v>
      </c>
      <c r="J186" s="64">
        <f>IFERROR(K186*I186*VLOOKUP(C186,Mnu!$E$20:$F$37,2,FALSE)," ")</f>
        <v>550</v>
      </c>
      <c r="K186" s="228">
        <v>1</v>
      </c>
      <c r="L186" s="156"/>
    </row>
    <row r="187" spans="1:12" ht="14.25" customHeight="1">
      <c r="A187" s="99">
        <v>186</v>
      </c>
      <c r="B187" s="100" t="str">
        <f t="shared" si="2"/>
        <v>LED_Bulb-E27-1X-25W</v>
      </c>
      <c r="C187" s="225" t="s">
        <v>189</v>
      </c>
      <c r="D187" s="226" t="s">
        <v>82</v>
      </c>
      <c r="E187" s="227" t="s">
        <v>90</v>
      </c>
      <c r="F187" s="227" t="s">
        <v>104</v>
      </c>
      <c r="G187" s="63"/>
      <c r="H187" s="63" t="s">
        <v>98</v>
      </c>
      <c r="I187" s="63">
        <v>25</v>
      </c>
      <c r="J187" s="64">
        <f>IFERROR(K187*I187*VLOOKUP(C187,Mnu!$E$20:$F$37,2,FALSE)," ")</f>
        <v>1875</v>
      </c>
      <c r="K187" s="228">
        <v>1</v>
      </c>
      <c r="L187" s="156"/>
    </row>
    <row r="188" spans="1:12" ht="14.25" customHeight="1">
      <c r="A188" s="99">
        <v>187</v>
      </c>
      <c r="B188" s="100" t="str">
        <f t="shared" si="2"/>
        <v>LED_Bulb-E27-1X-35W</v>
      </c>
      <c r="C188" s="225" t="s">
        <v>189</v>
      </c>
      <c r="D188" s="226" t="s">
        <v>82</v>
      </c>
      <c r="E188" s="227" t="s">
        <v>90</v>
      </c>
      <c r="F188" s="227" t="s">
        <v>104</v>
      </c>
      <c r="G188" s="63"/>
      <c r="H188" s="63" t="s">
        <v>98</v>
      </c>
      <c r="I188" s="63">
        <v>35</v>
      </c>
      <c r="J188" s="64">
        <f>IFERROR(K188*I188*VLOOKUP(C188,Mnu!$E$20:$F$37,2,FALSE)," ")</f>
        <v>2625</v>
      </c>
      <c r="K188" s="228">
        <v>1</v>
      </c>
      <c r="L188" s="156"/>
    </row>
    <row r="189" spans="1:12" ht="14.25" customHeight="1">
      <c r="A189" s="99">
        <v>188</v>
      </c>
      <c r="B189" s="100" t="str">
        <f t="shared" si="2"/>
        <v>LED_Bulb-E28-1X-13W</v>
      </c>
      <c r="C189" s="225" t="s">
        <v>189</v>
      </c>
      <c r="D189" s="226" t="s">
        <v>82</v>
      </c>
      <c r="E189" s="227" t="s">
        <v>90</v>
      </c>
      <c r="F189" s="227" t="s">
        <v>908</v>
      </c>
      <c r="G189" s="63"/>
      <c r="H189" s="63" t="s">
        <v>98</v>
      </c>
      <c r="I189" s="63">
        <v>13</v>
      </c>
      <c r="J189" s="64">
        <f>IFERROR(K189*I189*VLOOKUP(C189,Mnu!$E$20:$F$37,2,FALSE)," ")</f>
        <v>975</v>
      </c>
      <c r="K189" s="228">
        <v>1</v>
      </c>
      <c r="L189" s="156"/>
    </row>
    <row r="190" spans="1:12" ht="14.25" customHeight="1">
      <c r="A190" s="99">
        <v>189</v>
      </c>
      <c r="B190" s="100" t="str">
        <f t="shared" si="2"/>
        <v>LED_Bulb-E29-1X-7W</v>
      </c>
      <c r="C190" s="225" t="s">
        <v>189</v>
      </c>
      <c r="D190" s="226" t="s">
        <v>82</v>
      </c>
      <c r="E190" s="227" t="s">
        <v>90</v>
      </c>
      <c r="F190" s="227" t="s">
        <v>909</v>
      </c>
      <c r="G190" s="63"/>
      <c r="H190" s="63" t="s">
        <v>98</v>
      </c>
      <c r="I190" s="63">
        <v>7</v>
      </c>
      <c r="J190" s="64">
        <f>IFERROR(K190*I190*VLOOKUP(C190,Mnu!$E$20:$F$37,2,FALSE)," ")</f>
        <v>525</v>
      </c>
      <c r="K190" s="228">
        <v>1</v>
      </c>
      <c r="L190" s="156"/>
    </row>
    <row r="191" spans="1:12" ht="14.25" customHeight="1">
      <c r="A191" s="99">
        <v>190</v>
      </c>
      <c r="B191" s="100" t="str">
        <f t="shared" si="2"/>
        <v>LED_Spot_Light-Spot Light-1X-8W</v>
      </c>
      <c r="C191" s="225" t="s">
        <v>188</v>
      </c>
      <c r="D191" s="226" t="s">
        <v>82</v>
      </c>
      <c r="E191" s="227" t="s">
        <v>90</v>
      </c>
      <c r="F191" s="227" t="s">
        <v>115</v>
      </c>
      <c r="G191" s="63"/>
      <c r="H191" s="63" t="s">
        <v>98</v>
      </c>
      <c r="I191" s="63">
        <v>8</v>
      </c>
      <c r="J191" s="64">
        <f>IFERROR(K191*I191*VLOOKUP(C191,Mnu!$E$20:$F$37,2,FALSE)," ")</f>
        <v>560</v>
      </c>
      <c r="K191" s="228">
        <v>1</v>
      </c>
      <c r="L191" s="156"/>
    </row>
    <row r="192" spans="1:12" ht="14.25" customHeight="1">
      <c r="A192" s="99">
        <v>191</v>
      </c>
      <c r="B192" s="100" t="str">
        <f t="shared" si="2"/>
        <v>LED_Spot_Light-Spot Light-1X-9W</v>
      </c>
      <c r="C192" s="225" t="s">
        <v>188</v>
      </c>
      <c r="D192" s="226" t="s">
        <v>82</v>
      </c>
      <c r="E192" s="227" t="s">
        <v>90</v>
      </c>
      <c r="F192" s="227" t="s">
        <v>115</v>
      </c>
      <c r="G192" s="63"/>
      <c r="H192" s="63" t="s">
        <v>98</v>
      </c>
      <c r="I192" s="63">
        <v>9</v>
      </c>
      <c r="J192" s="64">
        <f>IFERROR(K192*I192*VLOOKUP(C192,Mnu!$E$20:$F$37,2,FALSE)," ")</f>
        <v>630</v>
      </c>
      <c r="K192" s="228">
        <v>1</v>
      </c>
      <c r="L192" s="156"/>
    </row>
    <row r="193" spans="1:12" ht="14.25" customHeight="1">
      <c r="A193" s="99">
        <v>192</v>
      </c>
      <c r="B193" s="100" t="str">
        <f t="shared" si="2"/>
        <v>LED_Downlight-4"-1X-12W</v>
      </c>
      <c r="C193" s="225" t="s">
        <v>190</v>
      </c>
      <c r="D193" s="226" t="s">
        <v>82</v>
      </c>
      <c r="E193" s="227" t="s">
        <v>90</v>
      </c>
      <c r="F193" s="227" t="s">
        <v>214</v>
      </c>
      <c r="G193" s="63"/>
      <c r="H193" s="63" t="s">
        <v>98</v>
      </c>
      <c r="I193" s="63">
        <v>12</v>
      </c>
      <c r="J193" s="64">
        <f>IFERROR(K193*I193*VLOOKUP(C193,Mnu!$E$20:$F$37,2,FALSE)," ")</f>
        <v>900</v>
      </c>
      <c r="K193" s="228">
        <v>1</v>
      </c>
      <c r="L193" s="156"/>
    </row>
    <row r="194" spans="1:12" ht="14.25" customHeight="1">
      <c r="A194" s="99">
        <v>193</v>
      </c>
      <c r="B194" s="100" t="str">
        <f t="shared" si="2"/>
        <v>LED_Downlight-4"-1X-13W</v>
      </c>
      <c r="C194" s="225" t="s">
        <v>190</v>
      </c>
      <c r="D194" s="226" t="s">
        <v>82</v>
      </c>
      <c r="E194" s="227" t="s">
        <v>90</v>
      </c>
      <c r="F194" s="227" t="s">
        <v>214</v>
      </c>
      <c r="G194" s="63"/>
      <c r="H194" s="63" t="s">
        <v>98</v>
      </c>
      <c r="I194" s="63">
        <v>13</v>
      </c>
      <c r="J194" s="64">
        <f>IFERROR(K194*I194*VLOOKUP(C194,Mnu!$E$20:$F$37,2,FALSE)," ")</f>
        <v>975</v>
      </c>
      <c r="K194" s="228">
        <v>1</v>
      </c>
      <c r="L194" s="156"/>
    </row>
    <row r="195" spans="1:12" ht="14.25" customHeight="1">
      <c r="A195" s="99">
        <v>194</v>
      </c>
      <c r="B195" s="100" t="str">
        <f t="shared" ref="B195:B212" si="3">IF(C195="","",IF(D195="Conv",IFERROR(D195&amp;"-"&amp;C195&amp;"-"&amp;F195&amp;"-"&amp;G195&amp;""&amp;H195&amp;"-"&amp;I195&amp;"W",""),IFERROR(C195&amp;"-"&amp;F195&amp;"-"&amp;G195&amp;""&amp;H195&amp;"-"&amp;I195&amp;"W","")))</f>
        <v>LED_Downlight-6"-1X-16W</v>
      </c>
      <c r="C195" s="225" t="s">
        <v>190</v>
      </c>
      <c r="D195" s="226" t="s">
        <v>82</v>
      </c>
      <c r="E195" s="227" t="s">
        <v>90</v>
      </c>
      <c r="F195" s="227" t="s">
        <v>230</v>
      </c>
      <c r="G195" s="63"/>
      <c r="H195" s="63" t="s">
        <v>98</v>
      </c>
      <c r="I195" s="63">
        <v>16</v>
      </c>
      <c r="J195" s="64">
        <f>IFERROR(K195*I195*VLOOKUP(C195,Mnu!$E$20:$F$37,2,FALSE)," ")</f>
        <v>1200</v>
      </c>
      <c r="K195" s="228">
        <v>1</v>
      </c>
      <c r="L195" s="156"/>
    </row>
    <row r="196" spans="1:12" ht="14.25" customHeight="1">
      <c r="A196" s="99">
        <v>195</v>
      </c>
      <c r="B196" s="100" t="str">
        <f t="shared" si="3"/>
        <v>LED_Downlight-6"-1X-22W</v>
      </c>
      <c r="C196" s="225" t="s">
        <v>190</v>
      </c>
      <c r="D196" s="226" t="s">
        <v>82</v>
      </c>
      <c r="E196" s="227" t="s">
        <v>90</v>
      </c>
      <c r="F196" s="227" t="s">
        <v>230</v>
      </c>
      <c r="G196" s="63"/>
      <c r="H196" s="63" t="s">
        <v>98</v>
      </c>
      <c r="I196" s="63">
        <v>22</v>
      </c>
      <c r="J196" s="64">
        <f>IFERROR(K196*I196*VLOOKUP(C196,Mnu!$E$20:$F$37,2,FALSE)," ")</f>
        <v>1650</v>
      </c>
      <c r="K196" s="228">
        <v>1</v>
      </c>
      <c r="L196" s="156"/>
    </row>
    <row r="197" spans="1:12" ht="14.25" customHeight="1">
      <c r="A197" s="99">
        <v>196</v>
      </c>
      <c r="B197" s="100" t="str">
        <f t="shared" si="3"/>
        <v>LED_Downlight-8"-1X-24W</v>
      </c>
      <c r="C197" s="225" t="s">
        <v>190</v>
      </c>
      <c r="D197" s="226" t="s">
        <v>82</v>
      </c>
      <c r="E197" s="227" t="s">
        <v>90</v>
      </c>
      <c r="F197" s="227" t="s">
        <v>262</v>
      </c>
      <c r="G197" s="63"/>
      <c r="H197" s="63" t="s">
        <v>98</v>
      </c>
      <c r="I197" s="63">
        <v>24</v>
      </c>
      <c r="J197" s="64">
        <f>IFERROR(K197*I197*VLOOKUP(C197,Mnu!$E$20:$F$37,2,FALSE)," ")</f>
        <v>1800</v>
      </c>
      <c r="K197" s="228">
        <v>1</v>
      </c>
      <c r="L197" s="156"/>
    </row>
    <row r="198" spans="1:12" ht="14.25" customHeight="1">
      <c r="A198" s="99">
        <v>197</v>
      </c>
      <c r="B198" s="100" t="str">
        <f t="shared" si="3"/>
        <v>LED_Downlight-8"-1X-60W</v>
      </c>
      <c r="C198" s="225" t="s">
        <v>190</v>
      </c>
      <c r="D198" s="226" t="s">
        <v>82</v>
      </c>
      <c r="E198" s="227" t="s">
        <v>90</v>
      </c>
      <c r="F198" s="227" t="s">
        <v>262</v>
      </c>
      <c r="G198" s="63"/>
      <c r="H198" s="63" t="s">
        <v>98</v>
      </c>
      <c r="I198" s="63">
        <v>60</v>
      </c>
      <c r="J198" s="64">
        <f>IFERROR(K198*I198*VLOOKUP(C198,Mnu!$E$20:$F$37,2,FALSE)," ")</f>
        <v>4500</v>
      </c>
      <c r="K198" s="228">
        <v>1</v>
      </c>
      <c r="L198" s="156"/>
    </row>
    <row r="199" spans="1:12" ht="14.25" customHeight="1">
      <c r="A199" s="99">
        <v>198</v>
      </c>
      <c r="B199" s="100" t="str">
        <f t="shared" si="3"/>
        <v>LED_High_Bay-High Bay-1X-190W</v>
      </c>
      <c r="C199" s="225" t="s">
        <v>191</v>
      </c>
      <c r="D199" s="226" t="s">
        <v>82</v>
      </c>
      <c r="E199" s="227" t="s">
        <v>90</v>
      </c>
      <c r="F199" s="227" t="s">
        <v>118</v>
      </c>
      <c r="G199" s="63"/>
      <c r="H199" s="63" t="s">
        <v>98</v>
      </c>
      <c r="I199" s="63">
        <v>190</v>
      </c>
      <c r="J199" s="64">
        <f>IFERROR(K199*I199*VLOOKUP(C199,Mnu!$E$20:$F$37,2,FALSE)," ")</f>
        <v>15200</v>
      </c>
      <c r="K199" s="228">
        <v>1</v>
      </c>
      <c r="L199" s="156"/>
    </row>
    <row r="200" spans="1:12" ht="14.25" customHeight="1">
      <c r="A200" s="99">
        <v>199</v>
      </c>
      <c r="B200" s="100" t="str">
        <f t="shared" si="3"/>
        <v>Conv-LED_Tube-T8-1.2M-3X-36W</v>
      </c>
      <c r="C200" s="151" t="s">
        <v>187</v>
      </c>
      <c r="D200" s="152" t="s">
        <v>81</v>
      </c>
      <c r="E200" s="153" t="s">
        <v>90</v>
      </c>
      <c r="F200" s="153" t="s">
        <v>89</v>
      </c>
      <c r="G200" s="154" t="s">
        <v>102</v>
      </c>
      <c r="H200" s="154" t="s">
        <v>100</v>
      </c>
      <c r="I200" s="154">
        <v>36</v>
      </c>
      <c r="J200" s="64">
        <f>IFERROR(K200*I200*VLOOKUP(C200,Mnu!$E$20:$F$37,2,FALSE)," ")</f>
        <v>8100</v>
      </c>
      <c r="K200" s="155">
        <v>3</v>
      </c>
      <c r="L200" s="156"/>
    </row>
    <row r="201" spans="1:12" ht="14.25" customHeight="1">
      <c r="A201" s="99">
        <v>200</v>
      </c>
      <c r="B201" s="100" t="str">
        <f t="shared" si="3"/>
        <v>Conv-CFL-E27-1X-70W</v>
      </c>
      <c r="C201" s="151" t="s">
        <v>93</v>
      </c>
      <c r="D201" s="152" t="s">
        <v>81</v>
      </c>
      <c r="E201" s="153" t="s">
        <v>110</v>
      </c>
      <c r="F201" s="153" t="s">
        <v>104</v>
      </c>
      <c r="G201" s="154"/>
      <c r="H201" s="154" t="s">
        <v>98</v>
      </c>
      <c r="I201" s="154">
        <v>70</v>
      </c>
      <c r="J201" s="64">
        <f>IFERROR(K201*I201*VLOOKUP(C201,Mnu!$E$20:$F$37,2,FALSE)," ")</f>
        <v>3500</v>
      </c>
      <c r="K201" s="155">
        <v>1</v>
      </c>
      <c r="L201" s="156"/>
    </row>
    <row r="202" spans="1:12" ht="14.25" customHeight="1">
      <c r="A202" s="99">
        <v>201</v>
      </c>
      <c r="B202" s="100" t="str">
        <f t="shared" si="3"/>
        <v>LED_Tube-T8-0.6M-4X-10W</v>
      </c>
      <c r="C202" s="151" t="s">
        <v>187</v>
      </c>
      <c r="D202" s="152" t="s">
        <v>82</v>
      </c>
      <c r="E202" s="153" t="s">
        <v>90</v>
      </c>
      <c r="F202" s="153" t="s">
        <v>89</v>
      </c>
      <c r="G202" s="154" t="s">
        <v>103</v>
      </c>
      <c r="H202" s="154" t="s">
        <v>101</v>
      </c>
      <c r="I202" s="154">
        <v>10</v>
      </c>
      <c r="J202" s="64">
        <f>IFERROR(K202*I202*VLOOKUP(C202,Mnu!$E$20:$F$37,2,FALSE)," ")</f>
        <v>3000</v>
      </c>
      <c r="K202" s="155">
        <v>4</v>
      </c>
      <c r="L202" s="156"/>
    </row>
    <row r="203" spans="1:12" ht="14.25" customHeight="1">
      <c r="A203" s="99">
        <v>202</v>
      </c>
      <c r="B203" s="100" t="str">
        <f t="shared" si="3"/>
        <v>LED_Tube-T8-1.2M-2X-60W</v>
      </c>
      <c r="C203" s="151" t="s">
        <v>187</v>
      </c>
      <c r="D203" s="152" t="s">
        <v>82</v>
      </c>
      <c r="E203" s="153" t="s">
        <v>90</v>
      </c>
      <c r="F203" s="153" t="s">
        <v>89</v>
      </c>
      <c r="G203" s="154" t="str">
        <f>G200</f>
        <v>1.2M-</v>
      </c>
      <c r="H203" s="154" t="s">
        <v>99</v>
      </c>
      <c r="I203" s="154">
        <v>60</v>
      </c>
      <c r="J203" s="64">
        <f>IFERROR(K203*I203*VLOOKUP(C203,Mnu!$E$20:$F$37,2,FALSE)," ")</f>
        <v>9000</v>
      </c>
      <c r="K203" s="155">
        <v>2</v>
      </c>
      <c r="L203" s="156"/>
    </row>
    <row r="204" spans="1:12" ht="14.25" customHeight="1">
      <c r="A204" s="99">
        <v>203</v>
      </c>
      <c r="B204" s="100" t="str">
        <f t="shared" si="3"/>
        <v>LED_Bulb-Fanoos-52X-12W</v>
      </c>
      <c r="C204" s="151" t="s">
        <v>189</v>
      </c>
      <c r="D204" s="152" t="s">
        <v>82</v>
      </c>
      <c r="E204" s="153" t="s">
        <v>90</v>
      </c>
      <c r="F204" s="153" t="s">
        <v>920</v>
      </c>
      <c r="G204" s="154"/>
      <c r="H204" s="154" t="s">
        <v>921</v>
      </c>
      <c r="I204" s="154">
        <v>12</v>
      </c>
      <c r="J204" s="64">
        <f>IFERROR(K204*I204*VLOOKUP(C204,Mnu!$E$20:$F$37,2,FALSE)," ")</f>
        <v>46800</v>
      </c>
      <c r="K204" s="155">
        <v>52</v>
      </c>
      <c r="L204" s="156"/>
    </row>
    <row r="205" spans="1:12" ht="14.25" customHeight="1">
      <c r="A205" s="99">
        <v>204</v>
      </c>
      <c r="B205" s="100" t="str">
        <f t="shared" si="3"/>
        <v>LED_Bulb-Fanoos-24X-12W</v>
      </c>
      <c r="C205" s="151" t="str">
        <f>C204</f>
        <v>LED_Bulb</v>
      </c>
      <c r="D205" s="152" t="str">
        <f>D204</f>
        <v>LED</v>
      </c>
      <c r="E205" s="153" t="str">
        <f>E204</f>
        <v>Interior</v>
      </c>
      <c r="F205" s="153" t="str">
        <f>F204</f>
        <v>Fanoos</v>
      </c>
      <c r="G205" s="154"/>
      <c r="H205" s="154" t="s">
        <v>922</v>
      </c>
      <c r="I205" s="154">
        <v>12</v>
      </c>
      <c r="J205" s="64">
        <f>IFERROR(K205*I205*VLOOKUP(C205,Mnu!$E$20:$F$37,2,FALSE)," ")</f>
        <v>21600</v>
      </c>
      <c r="K205" s="155">
        <v>24</v>
      </c>
      <c r="L205" s="156"/>
    </row>
    <row r="206" spans="1:12" ht="14.25" customHeight="1">
      <c r="A206" s="99">
        <v>205</v>
      </c>
      <c r="B206" s="100" t="str">
        <f t="shared" si="3"/>
        <v>Conv-CFL-E27-2X-100W</v>
      </c>
      <c r="C206" s="151" t="s">
        <v>93</v>
      </c>
      <c r="D206" s="152" t="s">
        <v>81</v>
      </c>
      <c r="E206" s="153" t="s">
        <v>110</v>
      </c>
      <c r="F206" s="153" t="s">
        <v>104</v>
      </c>
      <c r="G206" s="154"/>
      <c r="H206" s="154" t="s">
        <v>99</v>
      </c>
      <c r="I206" s="154">
        <v>100</v>
      </c>
      <c r="J206" s="64">
        <f>IFERROR(K206*I206*VLOOKUP(C206,Mnu!$E$20:$F$37,2,FALSE)," ")</f>
        <v>10000</v>
      </c>
      <c r="K206" s="155">
        <v>2</v>
      </c>
      <c r="L206" s="156"/>
    </row>
    <row r="207" spans="1:12" ht="14.25" customHeight="1">
      <c r="A207" s="99">
        <v>206</v>
      </c>
      <c r="B207" s="100" t="str">
        <f t="shared" si="3"/>
        <v>Conv-CFL-E27-2X-18W</v>
      </c>
      <c r="C207" s="151" t="str">
        <f>C206</f>
        <v>CFL</v>
      </c>
      <c r="D207" s="152" t="str">
        <f>D206</f>
        <v>Conv</v>
      </c>
      <c r="E207" s="153" t="s">
        <v>90</v>
      </c>
      <c r="F207" s="153" t="s">
        <v>104</v>
      </c>
      <c r="G207" s="154"/>
      <c r="H207" s="154" t="s">
        <v>99</v>
      </c>
      <c r="I207" s="154">
        <v>18</v>
      </c>
      <c r="J207" s="64">
        <f>IFERROR(K207*I207*VLOOKUP(C207,Mnu!$E$20:$F$37,2,FALSE)," ")</f>
        <v>1800</v>
      </c>
      <c r="K207" s="155">
        <v>2</v>
      </c>
      <c r="L207" s="156"/>
    </row>
    <row r="208" spans="1:12" ht="14.25" customHeight="1">
      <c r="A208" s="99">
        <v>207</v>
      </c>
      <c r="B208" s="100" t="str">
        <f t="shared" si="3"/>
        <v>Conv-CFL-Table Light-1X-40W</v>
      </c>
      <c r="C208" s="151" t="s">
        <v>93</v>
      </c>
      <c r="D208" s="152" t="s">
        <v>81</v>
      </c>
      <c r="E208" s="153" t="str">
        <f>E207</f>
        <v>Interior</v>
      </c>
      <c r="F208" s="153" t="s">
        <v>923</v>
      </c>
      <c r="G208" s="154"/>
      <c r="H208" s="154" t="s">
        <v>98</v>
      </c>
      <c r="I208" s="154">
        <v>40</v>
      </c>
      <c r="J208" s="64">
        <f>IFERROR(K208*I208*VLOOKUP(C208,Mnu!$E$20:$F$37,2,FALSE)," ")</f>
        <v>2000</v>
      </c>
      <c r="K208" s="155">
        <v>1</v>
      </c>
      <c r="L208" s="156"/>
    </row>
    <row r="209" spans="1:12" ht="14.25" customHeight="1">
      <c r="A209" s="99">
        <v>208</v>
      </c>
      <c r="B209" s="100" t="str">
        <f t="shared" si="3"/>
        <v>Conv-CFL-Lock-0X-0W</v>
      </c>
      <c r="C209" s="151" t="str">
        <f>C208</f>
        <v>CFL</v>
      </c>
      <c r="D209" s="152" t="str">
        <f>D208</f>
        <v>Conv</v>
      </c>
      <c r="E209" s="153" t="str">
        <f>E208</f>
        <v>Interior</v>
      </c>
      <c r="F209" s="153" t="s">
        <v>924</v>
      </c>
      <c r="G209" s="154"/>
      <c r="H209" s="154" t="s">
        <v>925</v>
      </c>
      <c r="I209" s="154">
        <v>0</v>
      </c>
      <c r="J209" s="64">
        <f>IFERROR(K209*I209*VLOOKUP(C209,Mnu!$E$20:$F$37,2,FALSE)," ")</f>
        <v>0</v>
      </c>
      <c r="K209" s="155">
        <v>0</v>
      </c>
      <c r="L209" s="156"/>
    </row>
    <row r="210" spans="1:12" ht="14.25" customHeight="1">
      <c r="A210" s="99">
        <v>209</v>
      </c>
      <c r="B210" s="100" t="str">
        <f t="shared" si="3"/>
        <v>Conv-CFL-E27-2X-48W</v>
      </c>
      <c r="C210" s="151" t="s">
        <v>93</v>
      </c>
      <c r="D210" s="152" t="s">
        <v>81</v>
      </c>
      <c r="E210" s="153" t="s">
        <v>90</v>
      </c>
      <c r="F210" s="239" t="str">
        <f>F207</f>
        <v>E27</v>
      </c>
      <c r="G210" s="154"/>
      <c r="H210" s="154" t="s">
        <v>99</v>
      </c>
      <c r="I210" s="154">
        <v>48</v>
      </c>
      <c r="J210" s="64">
        <f>IFERROR(K210*I210*VLOOKUP(C210,Mnu!$E$20:$F$37,2,FALSE)," ")</f>
        <v>4800</v>
      </c>
      <c r="K210" s="155">
        <v>2</v>
      </c>
      <c r="L210" s="156"/>
    </row>
    <row r="211" spans="1:12" ht="14.25" customHeight="1">
      <c r="A211" s="99">
        <v>210</v>
      </c>
      <c r="B211" s="100" t="str">
        <f t="shared" si="3"/>
        <v>Conv-CFL-Exit Light-1X-8W</v>
      </c>
      <c r="C211" s="151" t="str">
        <f>C210</f>
        <v>CFL</v>
      </c>
      <c r="D211" s="152" t="str">
        <f>D210</f>
        <v>Conv</v>
      </c>
      <c r="E211" s="153" t="s">
        <v>90</v>
      </c>
      <c r="F211" s="153" t="s">
        <v>926</v>
      </c>
      <c r="G211" s="154"/>
      <c r="H211" s="154" t="s">
        <v>98</v>
      </c>
      <c r="I211" s="154">
        <v>8</v>
      </c>
      <c r="J211" s="64">
        <f>IFERROR(K211*I211*VLOOKUP(C211,Mnu!$E$20:$F$37,2,FALSE)," ")</f>
        <v>400</v>
      </c>
      <c r="K211" s="155">
        <v>1</v>
      </c>
      <c r="L211" s="156"/>
    </row>
    <row r="212" spans="1:12" ht="14.25" customHeight="1">
      <c r="A212" s="99">
        <v>211</v>
      </c>
      <c r="B212" s="100" t="str">
        <f t="shared" si="3"/>
        <v>LED_Bulb-Steplight-1X-8W</v>
      </c>
      <c r="C212" s="151" t="s">
        <v>189</v>
      </c>
      <c r="D212" s="152" t="s">
        <v>82</v>
      </c>
      <c r="E212" s="153" t="str">
        <f>E211</f>
        <v>Interior</v>
      </c>
      <c r="F212" s="153" t="s">
        <v>927</v>
      </c>
      <c r="G212" s="154"/>
      <c r="H212" s="154" t="s">
        <v>98</v>
      </c>
      <c r="I212" s="154">
        <v>8</v>
      </c>
      <c r="J212" s="64">
        <f>IFERROR(K212*I212*VLOOKUP(C212,Mnu!$E$20:$F$37,2,FALSE)," ")</f>
        <v>600</v>
      </c>
      <c r="K212" s="155">
        <v>1</v>
      </c>
      <c r="L212" s="156"/>
    </row>
    <row r="213" spans="1:12" ht="14.25" customHeight="1">
      <c r="A213" s="99">
        <v>212</v>
      </c>
      <c r="B213" s="100" t="str">
        <f t="shared" ref="B213:B258" si="4">IF(C213="","",IF(D213="Conv",IFERROR(D213&amp;"-"&amp;C213&amp;"-"&amp;F213&amp;"-"&amp;G213&amp;""&amp;H213&amp;"-"&amp;I213&amp;"W",""),IFERROR(C213&amp;"-"&amp;F213&amp;"-"&amp;G213&amp;""&amp;H213&amp;"-"&amp;I213&amp;"W","")))</f>
        <v>LED_Bulb-Lutch Light-1X-20W</v>
      </c>
      <c r="C213" s="151" t="str">
        <f>C212</f>
        <v>LED_Bulb</v>
      </c>
      <c r="D213" s="152" t="str">
        <f>D212</f>
        <v>LED</v>
      </c>
      <c r="E213" s="153" t="str">
        <f>E212</f>
        <v>Interior</v>
      </c>
      <c r="F213" s="153" t="s">
        <v>928</v>
      </c>
      <c r="G213" s="154"/>
      <c r="H213" s="154" t="str">
        <f>H212</f>
        <v>1X</v>
      </c>
      <c r="I213" s="154">
        <v>20</v>
      </c>
      <c r="J213" s="64">
        <f>IFERROR(K213*I213*VLOOKUP(C213,Mnu!$E$20:$F$37,2,FALSE)," ")</f>
        <v>1500</v>
      </c>
      <c r="K213" s="155">
        <v>1</v>
      </c>
      <c r="L213" s="156"/>
    </row>
    <row r="214" spans="1:12" ht="14.25" customHeight="1">
      <c r="A214" s="99">
        <v>213</v>
      </c>
      <c r="B214" s="100" t="str">
        <f t="shared" si="4"/>
        <v>Conv-CFL-Footlamp-1X-18W</v>
      </c>
      <c r="C214" s="151" t="str">
        <f>C211</f>
        <v>CFL</v>
      </c>
      <c r="D214" s="152" t="str">
        <f>D211</f>
        <v>Conv</v>
      </c>
      <c r="E214" s="153" t="s">
        <v>110</v>
      </c>
      <c r="F214" s="153" t="s">
        <v>929</v>
      </c>
      <c r="G214" s="154"/>
      <c r="H214" s="154" t="s">
        <v>98</v>
      </c>
      <c r="I214" s="154">
        <v>18</v>
      </c>
      <c r="J214" s="64">
        <f>IFERROR(K214*I214*VLOOKUP(C214,Mnu!$E$20:$F$37,2,FALSE)," ")</f>
        <v>900</v>
      </c>
      <c r="K214" s="155">
        <v>1</v>
      </c>
      <c r="L214" s="156"/>
    </row>
    <row r="215" spans="1:12" ht="14.25" customHeight="1">
      <c r="A215" s="99">
        <v>214</v>
      </c>
      <c r="B215" s="100" t="str">
        <f t="shared" si="4"/>
        <v>Conv-CFL-12" Downlight-1X-80W</v>
      </c>
      <c r="C215" s="151" t="s">
        <v>93</v>
      </c>
      <c r="D215" s="152" t="s">
        <v>81</v>
      </c>
      <c r="E215" s="153" t="s">
        <v>90</v>
      </c>
      <c r="F215" s="153" t="s">
        <v>930</v>
      </c>
      <c r="G215" s="154"/>
      <c r="H215" s="154" t="s">
        <v>98</v>
      </c>
      <c r="I215" s="154">
        <v>80</v>
      </c>
      <c r="J215" s="64">
        <f>IFERROR(K215*I215*VLOOKUP(C215,Mnu!$E$20:$F$37,2,FALSE)," ")</f>
        <v>4000</v>
      </c>
      <c r="K215" s="155">
        <v>1</v>
      </c>
      <c r="L215" s="156"/>
    </row>
    <row r="216" spans="1:12" ht="14.25" customHeight="1">
      <c r="A216" s="99">
        <v>215</v>
      </c>
      <c r="B216" s="100" t="str">
        <f t="shared" si="4"/>
        <v>LED_Bulb-Floor Light-1X-50W</v>
      </c>
      <c r="C216" s="151" t="s">
        <v>189</v>
      </c>
      <c r="D216" s="152" t="s">
        <v>82</v>
      </c>
      <c r="E216" s="153" t="s">
        <v>110</v>
      </c>
      <c r="F216" s="153" t="s">
        <v>931</v>
      </c>
      <c r="G216" s="154"/>
      <c r="H216" s="154" t="s">
        <v>98</v>
      </c>
      <c r="I216" s="154">
        <v>50</v>
      </c>
      <c r="J216" s="64">
        <f>IFERROR(K216*I216*VLOOKUP(C216,Mnu!$E$20:$F$37,2,FALSE)," ")</f>
        <v>3750</v>
      </c>
      <c r="K216" s="155">
        <v>1</v>
      </c>
      <c r="L216" s="156"/>
    </row>
    <row r="217" spans="1:12" ht="14.25" customHeight="1">
      <c r="A217" s="99">
        <v>216</v>
      </c>
      <c r="B217" s="100" t="str">
        <f t="shared" si="4"/>
        <v>Conv-MV-E40-1X-55W</v>
      </c>
      <c r="C217" s="151" t="s">
        <v>114</v>
      </c>
      <c r="D217" s="152" t="s">
        <v>81</v>
      </c>
      <c r="E217" s="153" t="s">
        <v>110</v>
      </c>
      <c r="F217" s="153" t="s">
        <v>105</v>
      </c>
      <c r="G217" s="154"/>
      <c r="H217" s="154" t="s">
        <v>98</v>
      </c>
      <c r="I217" s="154">
        <v>55</v>
      </c>
      <c r="J217" s="64">
        <f>IFERROR(K217*I217*VLOOKUP(C217,Mnu!$E$20:$F$37,2,FALSE)," ")</f>
        <v>1925</v>
      </c>
      <c r="K217" s="155">
        <v>1</v>
      </c>
      <c r="L217" s="156"/>
    </row>
    <row r="218" spans="1:12" ht="14.25" customHeight="1">
      <c r="A218" s="99">
        <v>217</v>
      </c>
      <c r="B218" s="100" t="str">
        <f t="shared" si="4"/>
        <v>LED_Bulb-HQL-1X-40W</v>
      </c>
      <c r="C218" s="151" t="s">
        <v>189</v>
      </c>
      <c r="D218" s="152" t="s">
        <v>82</v>
      </c>
      <c r="E218" s="153" t="s">
        <v>110</v>
      </c>
      <c r="F218" s="153" t="s">
        <v>932</v>
      </c>
      <c r="G218" s="154"/>
      <c r="H218" s="154" t="s">
        <v>98</v>
      </c>
      <c r="I218" s="154">
        <v>40</v>
      </c>
      <c r="J218" s="64">
        <f>IFERROR(K218*I218*VLOOKUP(C218,Mnu!$E$20:$F$37,2,FALSE)," ")</f>
        <v>3000</v>
      </c>
      <c r="K218" s="155">
        <v>1</v>
      </c>
      <c r="L218" s="156"/>
    </row>
    <row r="219" spans="1:12" ht="14.25" customHeight="1">
      <c r="A219" s="99">
        <v>218</v>
      </c>
      <c r="B219" s="100" t="str">
        <f t="shared" si="4"/>
        <v>Conv-MH--1X-250W</v>
      </c>
      <c r="C219" s="151" t="s">
        <v>109</v>
      </c>
      <c r="D219" s="152" t="s">
        <v>81</v>
      </c>
      <c r="E219" s="153" t="s">
        <v>110</v>
      </c>
      <c r="F219" s="153"/>
      <c r="G219" s="154"/>
      <c r="H219" s="154" t="s">
        <v>98</v>
      </c>
      <c r="I219" s="154">
        <v>250</v>
      </c>
      <c r="J219" s="64">
        <f>IFERROR(K219*I219*VLOOKUP(C219,Mnu!$E$20:$F$37,2,FALSE)," ")</f>
        <v>12500</v>
      </c>
      <c r="K219" s="155">
        <v>1</v>
      </c>
      <c r="L219" s="156"/>
    </row>
    <row r="220" spans="1:12" ht="14.25" customHeight="1">
      <c r="A220" s="99">
        <v>219</v>
      </c>
      <c r="B220" s="100" t="str">
        <f t="shared" si="4"/>
        <v>Conv-MH--1X-1000W</v>
      </c>
      <c r="C220" s="151" t="str">
        <f>C219</f>
        <v>MH</v>
      </c>
      <c r="D220" s="152" t="str">
        <f>D219</f>
        <v>Conv</v>
      </c>
      <c r="E220" s="153" t="str">
        <f>E219</f>
        <v>Exterior</v>
      </c>
      <c r="F220" s="153"/>
      <c r="G220" s="154"/>
      <c r="H220" s="154" t="s">
        <v>98</v>
      </c>
      <c r="I220" s="154">
        <v>1000</v>
      </c>
      <c r="J220" s="64">
        <f>IFERROR(K220*I220*VLOOKUP(C220,Mnu!$E$20:$F$37,2,FALSE)," ")</f>
        <v>50000</v>
      </c>
      <c r="K220" s="155">
        <v>1</v>
      </c>
      <c r="L220" s="156"/>
    </row>
    <row r="221" spans="1:12" ht="14.25" customHeight="1">
      <c r="A221" s="99">
        <v>220</v>
      </c>
      <c r="B221" s="100" t="str">
        <f t="shared" si="4"/>
        <v>LED_Flood_Light--1X-40W</v>
      </c>
      <c r="C221" s="151" t="s">
        <v>767</v>
      </c>
      <c r="D221" s="152" t="s">
        <v>82</v>
      </c>
      <c r="E221" s="153" t="s">
        <v>110</v>
      </c>
      <c r="F221" s="153"/>
      <c r="G221" s="154"/>
      <c r="H221" s="154" t="s">
        <v>98</v>
      </c>
      <c r="I221" s="154">
        <v>40</v>
      </c>
      <c r="J221" s="64">
        <f>IFERROR(K221*I221*VLOOKUP(C221,Mnu!$E$20:$F$37,2,FALSE)," ")</f>
        <v>3200</v>
      </c>
      <c r="K221" s="155">
        <v>1</v>
      </c>
      <c r="L221" s="156"/>
    </row>
    <row r="222" spans="1:12" ht="14.25" customHeight="1">
      <c r="A222" s="99">
        <v>221</v>
      </c>
      <c r="B222" s="100" t="str">
        <f t="shared" si="4"/>
        <v>Conv-MH--1X-800W</v>
      </c>
      <c r="C222" s="151" t="str">
        <f>C220</f>
        <v>MH</v>
      </c>
      <c r="D222" s="152" t="str">
        <f>D220</f>
        <v>Conv</v>
      </c>
      <c r="E222" s="153" t="str">
        <f>E220</f>
        <v>Exterior</v>
      </c>
      <c r="F222" s="153"/>
      <c r="G222" s="154"/>
      <c r="H222" s="154" t="s">
        <v>98</v>
      </c>
      <c r="I222" s="154">
        <v>800</v>
      </c>
      <c r="J222" s="64">
        <f>IFERROR(K222*I222*VLOOKUP(C222,Mnu!$E$20:$F$37,2,FALSE)," ")</f>
        <v>40000</v>
      </c>
      <c r="K222" s="155">
        <v>1</v>
      </c>
      <c r="L222" s="156"/>
    </row>
    <row r="223" spans="1:12" ht="14.25" customHeight="1">
      <c r="A223" s="99">
        <v>222</v>
      </c>
      <c r="B223" s="100" t="str">
        <f t="shared" si="4"/>
        <v>Conv-MH-E40 High Bay-1X-200W</v>
      </c>
      <c r="C223" s="151" t="str">
        <f>C222</f>
        <v>MH</v>
      </c>
      <c r="D223" s="152" t="str">
        <f>D222</f>
        <v>Conv</v>
      </c>
      <c r="E223" s="153" t="str">
        <f>E222</f>
        <v>Exterior</v>
      </c>
      <c r="F223" s="153" t="s">
        <v>933</v>
      </c>
      <c r="G223" s="154"/>
      <c r="H223" s="154" t="s">
        <v>98</v>
      </c>
      <c r="I223" s="154">
        <v>200</v>
      </c>
      <c r="J223" s="64">
        <f>IFERROR(K223*I223*VLOOKUP(C223,Mnu!$E$20:$F$37,2,FALSE)," ")</f>
        <v>10000</v>
      </c>
      <c r="K223" s="155">
        <v>1</v>
      </c>
      <c r="L223" s="156"/>
    </row>
    <row r="224" spans="1:12" ht="14.25" customHeight="1">
      <c r="A224" s="99">
        <v>223</v>
      </c>
      <c r="B224" s="100" t="str">
        <f t="shared" si="4"/>
        <v>LED_Panel_light-60X60-1X-55W</v>
      </c>
      <c r="C224" s="151" t="s">
        <v>766</v>
      </c>
      <c r="D224" s="152" t="s">
        <v>82</v>
      </c>
      <c r="E224" s="153" t="s">
        <v>90</v>
      </c>
      <c r="F224" s="153" t="s">
        <v>122</v>
      </c>
      <c r="G224" s="154"/>
      <c r="H224" s="154" t="s">
        <v>98</v>
      </c>
      <c r="I224" s="154">
        <v>55</v>
      </c>
      <c r="J224" s="64">
        <f>IFERROR(K224*I224*VLOOKUP(C224,Mnu!$E$20:$F$37,2,FALSE)," ")</f>
        <v>4125</v>
      </c>
      <c r="K224" s="155">
        <v>1</v>
      </c>
      <c r="L224" s="156"/>
    </row>
    <row r="225" spans="1:12" ht="14.25" customHeight="1">
      <c r="A225" s="99">
        <v>224</v>
      </c>
      <c r="B225" s="100" t="str">
        <f t="shared" si="4"/>
        <v>LED_Panel_light-60X60-1X-50W</v>
      </c>
      <c r="C225" s="151" t="str">
        <f>C224</f>
        <v>LED_Panel_light</v>
      </c>
      <c r="D225" s="152" t="str">
        <f>D224</f>
        <v>LED</v>
      </c>
      <c r="E225" s="153" t="str">
        <f>E224</f>
        <v>Interior</v>
      </c>
      <c r="F225" s="153" t="str">
        <f>F224</f>
        <v>60X60</v>
      </c>
      <c r="G225" s="154"/>
      <c r="H225" s="154" t="s">
        <v>98</v>
      </c>
      <c r="I225" s="154">
        <v>50</v>
      </c>
      <c r="J225" s="64">
        <f>IFERROR(K225*I225*VLOOKUP(C225,Mnu!$E$20:$F$37,2,FALSE)," ")</f>
        <v>3750</v>
      </c>
      <c r="K225" s="155">
        <v>1</v>
      </c>
      <c r="L225" s="156"/>
    </row>
    <row r="226" spans="1:12" ht="14.25" customHeight="1">
      <c r="A226" s="99">
        <v>225</v>
      </c>
      <c r="B226" s="100" t="str">
        <f t="shared" si="4"/>
        <v>LED_Downlight-4"-1X-26W</v>
      </c>
      <c r="C226" s="151" t="s">
        <v>190</v>
      </c>
      <c r="D226" s="152" t="s">
        <v>82</v>
      </c>
      <c r="E226" s="153" t="s">
        <v>90</v>
      </c>
      <c r="F226" s="153" t="s">
        <v>214</v>
      </c>
      <c r="G226" s="154"/>
      <c r="H226" s="154" t="s">
        <v>98</v>
      </c>
      <c r="I226" s="154">
        <v>26</v>
      </c>
      <c r="J226" s="64">
        <f>IFERROR(K226*I226*VLOOKUP(C226,Mnu!$E$20:$F$37,2,FALSE)," ")</f>
        <v>1950</v>
      </c>
      <c r="K226" s="155">
        <v>1</v>
      </c>
      <c r="L226" s="156"/>
    </row>
    <row r="227" spans="1:12" ht="14.25" customHeight="1">
      <c r="A227" s="99">
        <v>226</v>
      </c>
      <c r="B227" s="100" t="str">
        <f t="shared" si="4"/>
        <v>Conv-Halogen-6"-1X-200W</v>
      </c>
      <c r="C227" s="151" t="s">
        <v>142</v>
      </c>
      <c r="D227" s="152" t="s">
        <v>81</v>
      </c>
      <c r="E227" s="153" t="s">
        <v>90</v>
      </c>
      <c r="F227" s="153" t="s">
        <v>230</v>
      </c>
      <c r="G227" s="154"/>
      <c r="H227" s="154" t="s">
        <v>98</v>
      </c>
      <c r="I227" s="154">
        <v>200</v>
      </c>
      <c r="J227" s="64">
        <f>IFERROR(K227*I227*VLOOKUP(C227,Mnu!$E$20:$F$37,2,FALSE)," ")</f>
        <v>2000</v>
      </c>
      <c r="K227" s="155">
        <v>1</v>
      </c>
      <c r="L227" s="156"/>
    </row>
    <row r="228" spans="1:12" ht="14.25" customHeight="1">
      <c r="A228" s="99">
        <v>227</v>
      </c>
      <c r="B228" s="100" t="str">
        <f t="shared" si="4"/>
        <v>Conv-Halogen-6"-1X-30W</v>
      </c>
      <c r="C228" s="151" t="str">
        <f>C227</f>
        <v>Halogen</v>
      </c>
      <c r="D228" s="152" t="str">
        <f>D227</f>
        <v>Conv</v>
      </c>
      <c r="E228" s="153" t="str">
        <f>E227</f>
        <v>Interior</v>
      </c>
      <c r="F228" s="153" t="str">
        <f>F227</f>
        <v>6"</v>
      </c>
      <c r="G228" s="154"/>
      <c r="H228" s="154" t="s">
        <v>98</v>
      </c>
      <c r="I228" s="154">
        <v>30</v>
      </c>
      <c r="J228" s="64">
        <f>IFERROR(K228*I228*VLOOKUP(C228,Mnu!$E$20:$F$37,2,FALSE)," ")</f>
        <v>300</v>
      </c>
      <c r="K228" s="155">
        <v>1</v>
      </c>
      <c r="L228" s="156"/>
    </row>
    <row r="229" spans="1:12" ht="14.25" customHeight="1">
      <c r="A229" s="99">
        <v>228</v>
      </c>
      <c r="B229" s="100" t="str">
        <f t="shared" si="4"/>
        <v>Conv-Halogen-6"-1X-28W</v>
      </c>
      <c r="C229" s="151" t="str">
        <f>C227</f>
        <v>Halogen</v>
      </c>
      <c r="D229" s="152" t="str">
        <f>D228</f>
        <v>Conv</v>
      </c>
      <c r="E229" s="153" t="str">
        <f>E228</f>
        <v>Interior</v>
      </c>
      <c r="F229" s="153" t="str">
        <f>F228</f>
        <v>6"</v>
      </c>
      <c r="G229" s="154"/>
      <c r="H229" s="154" t="str">
        <f>H228</f>
        <v>1X</v>
      </c>
      <c r="I229" s="154">
        <v>28</v>
      </c>
      <c r="J229" s="64">
        <f>IFERROR(K229*I229*VLOOKUP(C229,Mnu!$E$20:$F$37,2,FALSE)," ")</f>
        <v>280</v>
      </c>
      <c r="K229" s="155">
        <v>1</v>
      </c>
      <c r="L229" s="156"/>
    </row>
    <row r="230" spans="1:12" ht="14.25" customHeight="1">
      <c r="A230" s="99">
        <v>229</v>
      </c>
      <c r="B230" s="100" t="str">
        <f t="shared" si="4"/>
        <v>LED_Downlight-6"-1X-15W</v>
      </c>
      <c r="C230" s="151" t="s">
        <v>190</v>
      </c>
      <c r="D230" s="152" t="s">
        <v>82</v>
      </c>
      <c r="E230" s="153" t="s">
        <v>90</v>
      </c>
      <c r="F230" s="153" t="str">
        <f>F229</f>
        <v>6"</v>
      </c>
      <c r="G230" s="154"/>
      <c r="H230" s="154" t="s">
        <v>98</v>
      </c>
      <c r="I230" s="154">
        <v>15</v>
      </c>
      <c r="J230" s="64">
        <f>IFERROR(K230*I230*VLOOKUP(C230,Mnu!$E$20:$F$37,2,FALSE)," ")</f>
        <v>1125</v>
      </c>
      <c r="K230" s="155">
        <v>1</v>
      </c>
      <c r="L230" s="156"/>
    </row>
    <row r="231" spans="1:12" ht="14.25" customHeight="1">
      <c r="A231" s="99">
        <v>230</v>
      </c>
      <c r="B231" s="100" t="str">
        <f t="shared" si="4"/>
        <v>LED_Downlight-6"-1X-12W</v>
      </c>
      <c r="C231" s="151" t="str">
        <f t="shared" ref="C231:E232" si="5">C230</f>
        <v>LED_Downlight</v>
      </c>
      <c r="D231" s="152" t="str">
        <f t="shared" si="5"/>
        <v>LED</v>
      </c>
      <c r="E231" s="153" t="str">
        <f t="shared" si="5"/>
        <v>Interior</v>
      </c>
      <c r="F231" s="153" t="str">
        <f>F230</f>
        <v>6"</v>
      </c>
      <c r="G231" s="154"/>
      <c r="H231" s="154" t="s">
        <v>98</v>
      </c>
      <c r="I231" s="154">
        <v>12</v>
      </c>
      <c r="J231" s="64">
        <f>IFERROR(K231*I231*VLOOKUP(C231,Mnu!$E$20:$F$37,2,FALSE)," ")</f>
        <v>900</v>
      </c>
      <c r="K231" s="155">
        <v>1</v>
      </c>
      <c r="L231" s="156"/>
    </row>
    <row r="232" spans="1:12" ht="14.25" customHeight="1">
      <c r="A232" s="99">
        <v>231</v>
      </c>
      <c r="B232" s="100" t="str">
        <f t="shared" si="4"/>
        <v>LED_Downlight-8"-1X-18W</v>
      </c>
      <c r="C232" s="151" t="str">
        <f t="shared" si="5"/>
        <v>LED_Downlight</v>
      </c>
      <c r="D232" s="152" t="str">
        <f t="shared" si="5"/>
        <v>LED</v>
      </c>
      <c r="E232" s="153" t="str">
        <f t="shared" si="5"/>
        <v>Interior</v>
      </c>
      <c r="F232" s="153" t="s">
        <v>262</v>
      </c>
      <c r="G232" s="154"/>
      <c r="H232" s="154" t="s">
        <v>98</v>
      </c>
      <c r="I232" s="154">
        <v>18</v>
      </c>
      <c r="J232" s="64">
        <f>IFERROR(K232*I232*VLOOKUP(C232,Mnu!$E$20:$F$37,2,FALSE)," ")</f>
        <v>1350</v>
      </c>
      <c r="K232" s="155">
        <v>1</v>
      </c>
      <c r="L232" s="156"/>
    </row>
    <row r="233" spans="1:12" ht="14.25" customHeight="1">
      <c r="A233" s="99">
        <v>232</v>
      </c>
      <c r="B233" s="100" t="str">
        <f t="shared" si="4"/>
        <v>Conv-Halogen-6"-1X-60W</v>
      </c>
      <c r="C233" s="151" t="str">
        <f>C229</f>
        <v>Halogen</v>
      </c>
      <c r="D233" s="152" t="s">
        <v>81</v>
      </c>
      <c r="E233" s="153" t="str">
        <f>E232</f>
        <v>Interior</v>
      </c>
      <c r="F233" s="153" t="str">
        <f>F231</f>
        <v>6"</v>
      </c>
      <c r="G233" s="154"/>
      <c r="H233" s="154" t="s">
        <v>98</v>
      </c>
      <c r="I233" s="154">
        <v>60</v>
      </c>
      <c r="J233" s="64">
        <f>IFERROR(K233*I233*VLOOKUP(C233,Mnu!$E$20:$F$37,2,FALSE)," ")</f>
        <v>600</v>
      </c>
      <c r="K233" s="155">
        <v>1</v>
      </c>
      <c r="L233" s="156"/>
    </row>
    <row r="234" spans="1:12" ht="14.25" customHeight="1">
      <c r="A234" s="99">
        <v>233</v>
      </c>
      <c r="B234" s="100" t="str">
        <f t="shared" si="4"/>
        <v>Conv-Halogen-6"-1X-100W</v>
      </c>
      <c r="C234" s="151" t="str">
        <f>C233</f>
        <v>Halogen</v>
      </c>
      <c r="D234" s="152" t="str">
        <f>D233</f>
        <v>Conv</v>
      </c>
      <c r="E234" s="153" t="str">
        <f>E233</f>
        <v>Interior</v>
      </c>
      <c r="F234" s="153" t="str">
        <f>F233</f>
        <v>6"</v>
      </c>
      <c r="G234" s="154"/>
      <c r="H234" s="154" t="s">
        <v>98</v>
      </c>
      <c r="I234" s="154">
        <v>100</v>
      </c>
      <c r="J234" s="64">
        <f>IFERROR(K234*I234*VLOOKUP(C234,Mnu!$E$20:$F$37,2,FALSE)," ")</f>
        <v>1000</v>
      </c>
      <c r="K234" s="155">
        <v>1</v>
      </c>
      <c r="L234" s="156"/>
    </row>
    <row r="235" spans="1:12" ht="14.25" customHeight="1">
      <c r="A235" s="99">
        <v>234</v>
      </c>
      <c r="B235" s="100" t="str">
        <f t="shared" si="4"/>
        <v>LED_Downlight-3"-1X-10W</v>
      </c>
      <c r="C235" s="151" t="s">
        <v>190</v>
      </c>
      <c r="D235" s="152" t="s">
        <v>82</v>
      </c>
      <c r="E235" s="153" t="s">
        <v>90</v>
      </c>
      <c r="F235" s="153" t="s">
        <v>317</v>
      </c>
      <c r="G235" s="154"/>
      <c r="H235" s="154" t="s">
        <v>98</v>
      </c>
      <c r="I235" s="154">
        <v>10</v>
      </c>
      <c r="J235" s="64">
        <f>IFERROR(K235*I235*VLOOKUP(C235,Mnu!$E$20:$F$37,2,FALSE)," ")</f>
        <v>750</v>
      </c>
      <c r="K235" s="155">
        <v>1</v>
      </c>
      <c r="L235" s="156"/>
    </row>
    <row r="236" spans="1:12" ht="14.25" customHeight="1">
      <c r="A236" s="99">
        <v>235</v>
      </c>
      <c r="B236" s="100" t="str">
        <f t="shared" si="4"/>
        <v>LED_Downlight-3"-1X-4.5W</v>
      </c>
      <c r="C236" s="151" t="str">
        <f>C235</f>
        <v>LED_Downlight</v>
      </c>
      <c r="D236" s="152" t="str">
        <f>D235</f>
        <v>LED</v>
      </c>
      <c r="E236" s="153" t="str">
        <f>E235</f>
        <v>Interior</v>
      </c>
      <c r="F236" s="153" t="s">
        <v>317</v>
      </c>
      <c r="G236" s="154"/>
      <c r="H236" s="154" t="s">
        <v>98</v>
      </c>
      <c r="I236" s="154">
        <v>4.5</v>
      </c>
      <c r="J236" s="64">
        <f>IFERROR(K236*I236*VLOOKUP(C236,Mnu!$E$20:$F$37,2,FALSE)," ")</f>
        <v>337.5</v>
      </c>
      <c r="K236" s="155">
        <v>1</v>
      </c>
      <c r="L236" s="156"/>
    </row>
    <row r="237" spans="1:12" ht="14.25" customHeight="1">
      <c r="A237" s="99">
        <v>236</v>
      </c>
      <c r="B237" s="100" t="str">
        <f t="shared" si="4"/>
        <v>LED_Bulb-E27-1X-50W</v>
      </c>
      <c r="C237" s="151" t="s">
        <v>189</v>
      </c>
      <c r="D237" s="152" t="str">
        <f>D236</f>
        <v>LED</v>
      </c>
      <c r="E237" s="153" t="str">
        <f>E236</f>
        <v>Interior</v>
      </c>
      <c r="F237" s="153" t="s">
        <v>104</v>
      </c>
      <c r="G237" s="154"/>
      <c r="H237" s="154" t="s">
        <v>98</v>
      </c>
      <c r="I237" s="154">
        <v>50</v>
      </c>
      <c r="J237" s="64">
        <f>IFERROR(K237*I237*VLOOKUP(C237,Mnu!$E$20:$F$37,2,FALSE)," ")</f>
        <v>3750</v>
      </c>
      <c r="K237" s="155">
        <v>1</v>
      </c>
      <c r="L237" s="156"/>
    </row>
    <row r="238" spans="1:12" ht="14.25" customHeight="1">
      <c r="A238" s="99">
        <v>237</v>
      </c>
      <c r="B238" s="100" t="str">
        <f t="shared" si="4"/>
        <v>Conv-Halogen--1X-35W</v>
      </c>
      <c r="C238" s="151" t="str">
        <f>C233</f>
        <v>Halogen</v>
      </c>
      <c r="D238" s="152" t="str">
        <f>D233</f>
        <v>Conv</v>
      </c>
      <c r="E238" s="153" t="str">
        <f>E233</f>
        <v>Interior</v>
      </c>
      <c r="F238" s="153"/>
      <c r="G238" s="154"/>
      <c r="H238" s="154" t="s">
        <v>98</v>
      </c>
      <c r="I238" s="154">
        <v>35</v>
      </c>
      <c r="J238" s="64">
        <f>IFERROR(K238*I238*VLOOKUP(C238,Mnu!$E$20:$F$37,2,FALSE)," ")</f>
        <v>350</v>
      </c>
      <c r="K238" s="155">
        <v>1</v>
      </c>
      <c r="L238" s="156"/>
    </row>
    <row r="239" spans="1:12" ht="14.25" customHeight="1">
      <c r="A239" s="99">
        <v>238</v>
      </c>
      <c r="B239" s="100" t="str">
        <f t="shared" si="4"/>
        <v>Conv-CFL-Downlight -2X-36W</v>
      </c>
      <c r="C239" s="151" t="s">
        <v>93</v>
      </c>
      <c r="D239" s="152" t="s">
        <v>81</v>
      </c>
      <c r="E239" s="153" t="s">
        <v>90</v>
      </c>
      <c r="F239" s="153" t="s">
        <v>934</v>
      </c>
      <c r="G239" s="154"/>
      <c r="H239" s="154" t="s">
        <v>99</v>
      </c>
      <c r="I239" s="154">
        <v>36</v>
      </c>
      <c r="J239" s="64">
        <f>IFERROR(K239*I239*VLOOKUP(C239,Mnu!$E$20:$F$37,2,FALSE)," ")</f>
        <v>3600</v>
      </c>
      <c r="K239" s="155">
        <v>2</v>
      </c>
      <c r="L239" s="156"/>
    </row>
    <row r="240" spans="1:12" ht="14.25" customHeight="1">
      <c r="A240" s="99">
        <v>239</v>
      </c>
      <c r="B240" s="100" t="str">
        <f t="shared" si="4"/>
        <v>Conv-CFL-Pole Lamp-1X-100W</v>
      </c>
      <c r="C240" s="151" t="str">
        <f t="shared" ref="C240:E246" si="6">C239</f>
        <v>CFL</v>
      </c>
      <c r="D240" s="152" t="str">
        <f t="shared" si="6"/>
        <v>Conv</v>
      </c>
      <c r="E240" s="153" t="str">
        <f t="shared" si="6"/>
        <v>Interior</v>
      </c>
      <c r="F240" s="153" t="s">
        <v>935</v>
      </c>
      <c r="G240" s="154"/>
      <c r="H240" s="154" t="s">
        <v>98</v>
      </c>
      <c r="I240" s="154">
        <v>100</v>
      </c>
      <c r="J240" s="64">
        <f>IFERROR(K240*I240*VLOOKUP(C240,Mnu!$E$20:$F$37,2,FALSE)," ")</f>
        <v>5000</v>
      </c>
      <c r="K240" s="155">
        <v>1</v>
      </c>
      <c r="L240" s="156"/>
    </row>
    <row r="241" spans="1:12" ht="14.25" customHeight="1">
      <c r="A241" s="99">
        <v>240</v>
      </c>
      <c r="B241" s="100" t="str">
        <f t="shared" si="4"/>
        <v>Conv-CFL-12" -3X-26W</v>
      </c>
      <c r="C241" s="151" t="str">
        <f t="shared" si="6"/>
        <v>CFL</v>
      </c>
      <c r="D241" s="152" t="str">
        <f t="shared" si="6"/>
        <v>Conv</v>
      </c>
      <c r="E241" s="153" t="str">
        <f t="shared" si="6"/>
        <v>Interior</v>
      </c>
      <c r="F241" s="153" t="s">
        <v>936</v>
      </c>
      <c r="G241" s="154"/>
      <c r="H241" s="154" t="s">
        <v>100</v>
      </c>
      <c r="I241" s="154">
        <v>26</v>
      </c>
      <c r="J241" s="64">
        <f>IFERROR(K241*I241*VLOOKUP(C241,Mnu!$E$20:$F$37,2,FALSE)," ")</f>
        <v>3900</v>
      </c>
      <c r="K241" s="155">
        <v>3</v>
      </c>
      <c r="L241" s="156"/>
    </row>
    <row r="242" spans="1:12" ht="14.25" customHeight="1">
      <c r="A242" s="99">
        <v>241</v>
      </c>
      <c r="B242" s="100" t="str">
        <f t="shared" si="4"/>
        <v>Conv-CFL--3X-12W</v>
      </c>
      <c r="C242" s="151" t="str">
        <f t="shared" si="6"/>
        <v>CFL</v>
      </c>
      <c r="D242" s="152" t="str">
        <f t="shared" si="6"/>
        <v>Conv</v>
      </c>
      <c r="E242" s="153" t="str">
        <f t="shared" si="6"/>
        <v>Interior</v>
      </c>
      <c r="F242" s="153"/>
      <c r="G242" s="154"/>
      <c r="H242" s="154" t="s">
        <v>100</v>
      </c>
      <c r="I242" s="154">
        <v>12</v>
      </c>
      <c r="J242" s="64">
        <f>IFERROR(K242*I242*VLOOKUP(C242,Mnu!$E$20:$F$37,2,FALSE)," ")</f>
        <v>1800</v>
      </c>
      <c r="K242" s="155">
        <v>3</v>
      </c>
      <c r="L242" s="156"/>
    </row>
    <row r="243" spans="1:12" ht="14.25" customHeight="1">
      <c r="A243" s="99">
        <v>242</v>
      </c>
      <c r="B243" s="100" t="str">
        <f t="shared" si="4"/>
        <v>Conv-CFL--2X-20W</v>
      </c>
      <c r="C243" s="151" t="str">
        <f t="shared" si="6"/>
        <v>CFL</v>
      </c>
      <c r="D243" s="152" t="str">
        <f t="shared" si="6"/>
        <v>Conv</v>
      </c>
      <c r="E243" s="153" t="str">
        <f t="shared" si="6"/>
        <v>Interior</v>
      </c>
      <c r="F243" s="153"/>
      <c r="G243" s="154"/>
      <c r="H243" s="154" t="s">
        <v>99</v>
      </c>
      <c r="I243" s="154">
        <v>20</v>
      </c>
      <c r="J243" s="64">
        <f>IFERROR(K243*I243*VLOOKUP(C243,Mnu!$E$20:$F$37,2,FALSE)," ")</f>
        <v>2000</v>
      </c>
      <c r="K243" s="155">
        <v>2</v>
      </c>
      <c r="L243" s="156"/>
    </row>
    <row r="244" spans="1:12" ht="14.25" customHeight="1">
      <c r="A244" s="99">
        <v>243</v>
      </c>
      <c r="B244" s="100" t="str">
        <f t="shared" si="4"/>
        <v>Conv-CFL--2X-28W</v>
      </c>
      <c r="C244" s="151" t="str">
        <f t="shared" si="6"/>
        <v>CFL</v>
      </c>
      <c r="D244" s="152" t="str">
        <f t="shared" si="6"/>
        <v>Conv</v>
      </c>
      <c r="E244" s="153" t="str">
        <f t="shared" si="6"/>
        <v>Interior</v>
      </c>
      <c r="F244" s="153"/>
      <c r="G244" s="154"/>
      <c r="H244" s="154" t="s">
        <v>99</v>
      </c>
      <c r="I244" s="154">
        <v>28</v>
      </c>
      <c r="J244" s="64">
        <f>IFERROR(K244*I244*VLOOKUP(C244,Mnu!$E$20:$F$37,2,FALSE)," ")</f>
        <v>2800</v>
      </c>
      <c r="K244" s="155">
        <v>2</v>
      </c>
      <c r="L244" s="156"/>
    </row>
    <row r="245" spans="1:12" ht="14.25" customHeight="1">
      <c r="A245" s="99">
        <v>244</v>
      </c>
      <c r="B245" s="100" t="str">
        <f t="shared" si="4"/>
        <v>Conv-CFL-12" E27-3X-15W</v>
      </c>
      <c r="C245" s="151" t="str">
        <f t="shared" si="6"/>
        <v>CFL</v>
      </c>
      <c r="D245" s="152" t="str">
        <f t="shared" si="6"/>
        <v>Conv</v>
      </c>
      <c r="E245" s="153" t="str">
        <f t="shared" si="6"/>
        <v>Interior</v>
      </c>
      <c r="F245" s="153" t="s">
        <v>937</v>
      </c>
      <c r="G245" s="154"/>
      <c r="H245" s="154" t="s">
        <v>100</v>
      </c>
      <c r="I245" s="154">
        <v>15</v>
      </c>
      <c r="J245" s="64">
        <f>IFERROR(K245*I245*VLOOKUP(C245,Mnu!$E$20:$F$37,2,FALSE)," ")</f>
        <v>2250</v>
      </c>
      <c r="K245" s="155">
        <v>3</v>
      </c>
      <c r="L245" s="156"/>
    </row>
    <row r="246" spans="1:12" ht="14.25" customHeight="1">
      <c r="A246" s="99">
        <v>245</v>
      </c>
      <c r="B246" s="100" t="str">
        <f t="shared" si="4"/>
        <v>Conv-CFL--2X-12W</v>
      </c>
      <c r="C246" s="151" t="str">
        <f t="shared" si="6"/>
        <v>CFL</v>
      </c>
      <c r="D246" s="152" t="str">
        <f t="shared" si="6"/>
        <v>Conv</v>
      </c>
      <c r="E246" s="153" t="str">
        <f t="shared" si="6"/>
        <v>Interior</v>
      </c>
      <c r="F246" s="153"/>
      <c r="G246" s="154"/>
      <c r="H246" s="154" t="s">
        <v>99</v>
      </c>
      <c r="I246" s="154">
        <v>12</v>
      </c>
      <c r="J246" s="64">
        <f>IFERROR(K246*I246*VLOOKUP(C246,Mnu!$E$20:$F$37,2,FALSE)," ")</f>
        <v>1200</v>
      </c>
      <c r="K246" s="155">
        <v>2</v>
      </c>
      <c r="L246" s="156"/>
    </row>
    <row r="247" spans="1:12" ht="14.25" customHeight="1">
      <c r="A247" s="99">
        <v>246</v>
      </c>
      <c r="B247" s="100" t="str">
        <f t="shared" si="4"/>
        <v>LED_Bulb--20X-12W</v>
      </c>
      <c r="C247" s="151" t="s">
        <v>189</v>
      </c>
      <c r="D247" s="152" t="s">
        <v>82</v>
      </c>
      <c r="E247" s="153" t="s">
        <v>90</v>
      </c>
      <c r="F247" s="153"/>
      <c r="G247" s="154"/>
      <c r="H247" s="154" t="s">
        <v>938</v>
      </c>
      <c r="I247" s="154">
        <v>12</v>
      </c>
      <c r="J247" s="64">
        <f>IFERROR(K247*I247*VLOOKUP(C247,Mnu!$E$20:$F$37,2,FALSE)," ")</f>
        <v>18000</v>
      </c>
      <c r="K247" s="155">
        <v>20</v>
      </c>
      <c r="L247" s="156"/>
    </row>
    <row r="248" spans="1:12" ht="14.25" customHeight="1">
      <c r="A248" s="99">
        <v>247</v>
      </c>
      <c r="B248" s="100" t="str">
        <f t="shared" si="4"/>
        <v>LED_Bulb--1X-18W</v>
      </c>
      <c r="C248" s="151" t="str">
        <f t="shared" ref="C248:E249" si="7">C247</f>
        <v>LED_Bulb</v>
      </c>
      <c r="D248" s="152" t="str">
        <f t="shared" si="7"/>
        <v>LED</v>
      </c>
      <c r="E248" s="153" t="str">
        <f t="shared" si="7"/>
        <v>Interior</v>
      </c>
      <c r="F248" s="153"/>
      <c r="G248" s="154"/>
      <c r="H248" s="154" t="s">
        <v>98</v>
      </c>
      <c r="I248" s="154">
        <v>18</v>
      </c>
      <c r="J248" s="64">
        <f>IFERROR(K248*I248*VLOOKUP(C248,Mnu!$E$20:$F$37,2,FALSE)," ")</f>
        <v>1350</v>
      </c>
      <c r="K248" s="155">
        <v>1</v>
      </c>
      <c r="L248" s="156"/>
    </row>
    <row r="249" spans="1:12" ht="14.25" customHeight="1">
      <c r="A249" s="99">
        <v>248</v>
      </c>
      <c r="B249" s="100" t="str">
        <f t="shared" si="4"/>
        <v>LED_Bulb--1X-30W</v>
      </c>
      <c r="C249" s="151" t="str">
        <f t="shared" si="7"/>
        <v>LED_Bulb</v>
      </c>
      <c r="D249" s="152" t="str">
        <f t="shared" si="7"/>
        <v>LED</v>
      </c>
      <c r="E249" s="153" t="str">
        <f t="shared" si="7"/>
        <v>Interior</v>
      </c>
      <c r="F249" s="153"/>
      <c r="G249" s="154"/>
      <c r="H249" s="154" t="s">
        <v>98</v>
      </c>
      <c r="I249" s="154">
        <v>30</v>
      </c>
      <c r="J249" s="64">
        <f>IFERROR(K249*I249*VLOOKUP(C249,Mnu!$E$20:$F$37,2,FALSE)," ")</f>
        <v>2250</v>
      </c>
      <c r="K249" s="155">
        <v>1</v>
      </c>
      <c r="L249" s="156"/>
    </row>
    <row r="250" spans="1:12" ht="14.25" customHeight="1">
      <c r="A250" s="99">
        <v>249</v>
      </c>
      <c r="B250" s="100" t="str">
        <f t="shared" si="4"/>
        <v>LED_Tube--0.6M-2X-10W</v>
      </c>
      <c r="C250" s="151" t="s">
        <v>187</v>
      </c>
      <c r="D250" s="152" t="str">
        <f>D249</f>
        <v>LED</v>
      </c>
      <c r="E250" s="153" t="str">
        <f>E249</f>
        <v>Interior</v>
      </c>
      <c r="F250" s="153"/>
      <c r="G250" s="154" t="s">
        <v>103</v>
      </c>
      <c r="H250" s="154" t="s">
        <v>99</v>
      </c>
      <c r="I250" s="154">
        <v>10</v>
      </c>
      <c r="J250" s="64">
        <f>IFERROR(K250*I250*VLOOKUP(C250,Mnu!$E$20:$F$37,2,FALSE)," ")</f>
        <v>1500</v>
      </c>
      <c r="K250" s="155">
        <v>2</v>
      </c>
      <c r="L250" s="156"/>
    </row>
    <row r="251" spans="1:12" ht="14.25" customHeight="1">
      <c r="A251" s="99">
        <v>250</v>
      </c>
      <c r="B251" s="100" t="str">
        <f t="shared" si="4"/>
        <v>Conv-FTL--0.6M-2X-22W</v>
      </c>
      <c r="C251" s="151" t="s">
        <v>80</v>
      </c>
      <c r="D251" s="152" t="s">
        <v>81</v>
      </c>
      <c r="E251" s="153" t="str">
        <f>E250</f>
        <v>Interior</v>
      </c>
      <c r="F251" s="153"/>
      <c r="G251" s="154" t="str">
        <f>G250</f>
        <v>0.6M-</v>
      </c>
      <c r="H251" s="154" t="s">
        <v>99</v>
      </c>
      <c r="I251" s="154">
        <v>22</v>
      </c>
      <c r="J251" s="64">
        <f>IFERROR(K251*I251*VLOOKUP(C251,Mnu!$E$20:$F$37,2,FALSE)," ")</f>
        <v>2200</v>
      </c>
      <c r="K251" s="155">
        <v>2</v>
      </c>
      <c r="L251" s="156"/>
    </row>
    <row r="252" spans="1:12" ht="14.25" customHeight="1">
      <c r="A252" s="99">
        <v>251</v>
      </c>
      <c r="B252" s="100" t="str">
        <f t="shared" si="4"/>
        <v>Conv-FTL--0.6M-1X-10W</v>
      </c>
      <c r="C252" s="151" t="str">
        <f>C251</f>
        <v>FTL</v>
      </c>
      <c r="D252" s="152" t="str">
        <f>D251</f>
        <v>Conv</v>
      </c>
      <c r="E252" s="153" t="str">
        <f>E251</f>
        <v>Interior</v>
      </c>
      <c r="F252" s="153"/>
      <c r="G252" s="154" t="str">
        <f>G251</f>
        <v>0.6M-</v>
      </c>
      <c r="H252" s="154" t="s">
        <v>98</v>
      </c>
      <c r="I252" s="154">
        <v>10</v>
      </c>
      <c r="J252" s="64">
        <f>IFERROR(K252*I252*VLOOKUP(C252,Mnu!$E$20:$F$37,2,FALSE)," ")</f>
        <v>500</v>
      </c>
      <c r="K252" s="155">
        <v>1</v>
      </c>
      <c r="L252" s="156"/>
    </row>
    <row r="253" spans="1:12" ht="14.25" customHeight="1">
      <c r="A253" s="99">
        <v>252</v>
      </c>
      <c r="B253" s="100" t="str">
        <f t="shared" si="4"/>
        <v>LED_Tube--0.6M-1X-10W</v>
      </c>
      <c r="C253" s="151" t="str">
        <f>C250</f>
        <v>LED_Tube</v>
      </c>
      <c r="D253" s="152" t="str">
        <f>D250</f>
        <v>LED</v>
      </c>
      <c r="E253" s="153" t="str">
        <f>E250</f>
        <v>Interior</v>
      </c>
      <c r="F253" s="153"/>
      <c r="G253" s="154" t="str">
        <f>G252</f>
        <v>0.6M-</v>
      </c>
      <c r="H253" s="154" t="s">
        <v>98</v>
      </c>
      <c r="I253" s="154">
        <v>10</v>
      </c>
      <c r="J253" s="64">
        <f>IFERROR(K253*I253*VLOOKUP(C253,Mnu!$E$20:$F$37,2,FALSE)," ")</f>
        <v>750</v>
      </c>
      <c r="K253" s="155">
        <v>1</v>
      </c>
      <c r="L253" s="156"/>
    </row>
    <row r="254" spans="1:12" ht="14.25" customHeight="1">
      <c r="A254" s="99">
        <v>253</v>
      </c>
      <c r="B254" s="100" t="str">
        <f t="shared" si="4"/>
        <v>LED_Tube-T20-0.6M-1X-30W</v>
      </c>
      <c r="C254" s="151" t="str">
        <f t="shared" ref="C254:E257" si="8">C253</f>
        <v>LED_Tube</v>
      </c>
      <c r="D254" s="152" t="str">
        <f t="shared" si="8"/>
        <v>LED</v>
      </c>
      <c r="E254" s="153" t="str">
        <f t="shared" si="8"/>
        <v>Interior</v>
      </c>
      <c r="F254" s="153" t="s">
        <v>939</v>
      </c>
      <c r="G254" s="154" t="str">
        <f>G253</f>
        <v>0.6M-</v>
      </c>
      <c r="H254" s="154" t="s">
        <v>98</v>
      </c>
      <c r="I254" s="154">
        <v>30</v>
      </c>
      <c r="J254" s="64">
        <f>IFERROR(K254*I254*VLOOKUP(C254,Mnu!$E$20:$F$37,2,FALSE)," ")</f>
        <v>2250</v>
      </c>
      <c r="K254" s="155">
        <v>1</v>
      </c>
      <c r="L254" s="156"/>
    </row>
    <row r="255" spans="1:12" ht="14.25" customHeight="1">
      <c r="A255" s="99">
        <v>254</v>
      </c>
      <c r="B255" s="100" t="str">
        <f t="shared" si="4"/>
        <v>LED_Tube-T20-0.6M-1X-34W</v>
      </c>
      <c r="C255" s="151" t="str">
        <f t="shared" si="8"/>
        <v>LED_Tube</v>
      </c>
      <c r="D255" s="152" t="str">
        <f t="shared" si="8"/>
        <v>LED</v>
      </c>
      <c r="E255" s="153" t="str">
        <f t="shared" si="8"/>
        <v>Interior</v>
      </c>
      <c r="F255" s="153" t="str">
        <f>F254</f>
        <v>T20</v>
      </c>
      <c r="G255" s="154" t="str">
        <f>G254</f>
        <v>0.6M-</v>
      </c>
      <c r="H255" s="154" t="s">
        <v>98</v>
      </c>
      <c r="I255" s="154">
        <v>34</v>
      </c>
      <c r="J255" s="64">
        <f>IFERROR(K255*I255*VLOOKUP(C255,Mnu!$E$20:$F$37,2,FALSE)," ")</f>
        <v>2550</v>
      </c>
      <c r="K255" s="155">
        <v>1</v>
      </c>
      <c r="L255" s="156"/>
    </row>
    <row r="256" spans="1:12" ht="14.25" customHeight="1">
      <c r="A256" s="99">
        <v>255</v>
      </c>
      <c r="B256" s="100" t="str">
        <f t="shared" si="4"/>
        <v>LED_Tube-T8-1.2M-3X-22W</v>
      </c>
      <c r="C256" s="151" t="str">
        <f t="shared" si="8"/>
        <v>LED_Tube</v>
      </c>
      <c r="D256" s="152" t="str">
        <f t="shared" si="8"/>
        <v>LED</v>
      </c>
      <c r="E256" s="153" t="str">
        <f t="shared" si="8"/>
        <v>Interior</v>
      </c>
      <c r="F256" s="153" t="s">
        <v>89</v>
      </c>
      <c r="G256" s="154" t="s">
        <v>102</v>
      </c>
      <c r="H256" s="154" t="s">
        <v>100</v>
      </c>
      <c r="I256" s="154">
        <v>22</v>
      </c>
      <c r="J256" s="64">
        <f>IFERROR(K256*I256*VLOOKUP(C256,Mnu!$E$20:$F$37,2,FALSE)," ")</f>
        <v>4950</v>
      </c>
      <c r="K256" s="155">
        <v>3</v>
      </c>
      <c r="L256" s="156"/>
    </row>
    <row r="257" spans="1:12" ht="14.25" customHeight="1">
      <c r="A257" s="99">
        <v>256</v>
      </c>
      <c r="B257" s="100" t="str">
        <f t="shared" si="4"/>
        <v>LED_Tube-T8-1.2M-2X-22W</v>
      </c>
      <c r="C257" s="151" t="str">
        <f t="shared" si="8"/>
        <v>LED_Tube</v>
      </c>
      <c r="D257" s="152" t="str">
        <f t="shared" si="8"/>
        <v>LED</v>
      </c>
      <c r="E257" s="153" t="str">
        <f t="shared" si="8"/>
        <v>Interior</v>
      </c>
      <c r="F257" s="153" t="str">
        <f>F256</f>
        <v>T8</v>
      </c>
      <c r="G257" s="154" t="str">
        <f>G256</f>
        <v>1.2M-</v>
      </c>
      <c r="H257" s="154" t="s">
        <v>99</v>
      </c>
      <c r="I257" s="154">
        <v>22</v>
      </c>
      <c r="J257" s="64">
        <f>IFERROR(K257*I257*VLOOKUP(C257,Mnu!$E$20:$F$37,2,FALSE)," ")</f>
        <v>3300</v>
      </c>
      <c r="K257" s="155">
        <v>2</v>
      </c>
      <c r="L257" s="156"/>
    </row>
    <row r="258" spans="1:12" ht="14.25" customHeight="1">
      <c r="A258" s="99">
        <v>257</v>
      </c>
      <c r="B258" s="100" t="str">
        <f t="shared" si="4"/>
        <v>Conv-FTL-T8-1.2M-2X-22W</v>
      </c>
      <c r="C258" s="151" t="s">
        <v>80</v>
      </c>
      <c r="D258" s="152" t="s">
        <v>81</v>
      </c>
      <c r="E258" s="153" t="str">
        <f>E257</f>
        <v>Interior</v>
      </c>
      <c r="F258" s="153" t="str">
        <f>F257</f>
        <v>T8</v>
      </c>
      <c r="G258" s="154" t="str">
        <f>G257</f>
        <v>1.2M-</v>
      </c>
      <c r="H258" s="154" t="str">
        <f>H257</f>
        <v>2X</v>
      </c>
      <c r="I258" s="154">
        <v>22</v>
      </c>
      <c r="J258" s="64">
        <f>IFERROR(K258*I258*VLOOKUP(C258,Mnu!$E$20:$F$37,2,FALSE)," ")</f>
        <v>2200</v>
      </c>
      <c r="K258" s="155">
        <v>2</v>
      </c>
      <c r="L258" s="156"/>
    </row>
    <row r="259" spans="1:12" ht="14.25" customHeight="1">
      <c r="A259" s="99">
        <v>258</v>
      </c>
      <c r="B259" s="100" t="str">
        <f t="shared" ref="B259:B322" si="9">IF(C259="","",IF(D259="Conv",IFERROR(D259&amp;"-"&amp;C259&amp;"-"&amp;F259&amp;"-"&amp;G259&amp;""&amp;H259&amp;"-"&amp;I259&amp;"W",""),IFERROR(C259&amp;"-"&amp;F259&amp;"-"&amp;G259&amp;""&amp;H259&amp;"-"&amp;I259&amp;"W","")))</f>
        <v>LED_Tube-T8-1.2M-2X-50W</v>
      </c>
      <c r="C259" s="151" t="str">
        <f>C257</f>
        <v>LED_Tube</v>
      </c>
      <c r="D259" s="152" t="str">
        <f>D257</f>
        <v>LED</v>
      </c>
      <c r="E259" s="153" t="str">
        <f>E257</f>
        <v>Interior</v>
      </c>
      <c r="F259" s="153" t="str">
        <f>F257</f>
        <v>T8</v>
      </c>
      <c r="G259" s="154" t="str">
        <f>G258</f>
        <v>1.2M-</v>
      </c>
      <c r="H259" s="154" t="s">
        <v>99</v>
      </c>
      <c r="I259" s="154">
        <v>50</v>
      </c>
      <c r="J259" s="64">
        <f>IFERROR(K259*I259*VLOOKUP(C259,Mnu!$E$20:$F$37,2,FALSE)," ")</f>
        <v>7500</v>
      </c>
      <c r="K259" s="155">
        <v>2</v>
      </c>
      <c r="L259" s="156"/>
    </row>
    <row r="260" spans="1:12" ht="14.25" customHeight="1">
      <c r="A260" s="99">
        <v>259</v>
      </c>
      <c r="B260" s="100" t="str">
        <f t="shared" si="9"/>
        <v>LED_Tube-T8-1.2M-8X-50W</v>
      </c>
      <c r="C260" s="151" t="s">
        <v>187</v>
      </c>
      <c r="D260" s="152" t="s">
        <v>82</v>
      </c>
      <c r="E260" s="153" t="str">
        <f t="shared" ref="E260" si="10">E258</f>
        <v>Interior</v>
      </c>
      <c r="F260" s="153" t="str">
        <f t="shared" ref="F260:F265" si="11">F258</f>
        <v>T8</v>
      </c>
      <c r="G260" s="154" t="str">
        <f t="shared" ref="G260:G264" si="12">G259</f>
        <v>1.2M-</v>
      </c>
      <c r="H260" s="154" t="s">
        <v>940</v>
      </c>
      <c r="I260" s="154">
        <v>50</v>
      </c>
      <c r="J260" s="64">
        <f>IFERROR(K260*I260*VLOOKUP(C260,Mnu!$E$20:$F$37,2,FALSE)," ")</f>
        <v>30000</v>
      </c>
      <c r="K260" s="155">
        <v>8</v>
      </c>
      <c r="L260" s="156"/>
    </row>
    <row r="261" spans="1:12" ht="14.25" customHeight="1">
      <c r="A261" s="99">
        <v>260</v>
      </c>
      <c r="B261" s="100" t="str">
        <f t="shared" si="9"/>
        <v>LED_Tube-T8-1.2M-1X-50W</v>
      </c>
      <c r="C261" s="151" t="str">
        <f t="shared" ref="C261:E261" si="13">C259</f>
        <v>LED_Tube</v>
      </c>
      <c r="D261" s="152" t="str">
        <f t="shared" si="13"/>
        <v>LED</v>
      </c>
      <c r="E261" s="153" t="str">
        <f t="shared" si="13"/>
        <v>Interior</v>
      </c>
      <c r="F261" s="153" t="str">
        <f t="shared" si="11"/>
        <v>T8</v>
      </c>
      <c r="G261" s="154" t="str">
        <f t="shared" si="12"/>
        <v>1.2M-</v>
      </c>
      <c r="H261" s="154" t="s">
        <v>98</v>
      </c>
      <c r="I261" s="154">
        <v>50</v>
      </c>
      <c r="J261" s="64">
        <f>IFERROR(K261*I261*VLOOKUP(C261,Mnu!$E$20:$F$37,2,FALSE)," ")</f>
        <v>3750</v>
      </c>
      <c r="K261" s="155">
        <v>1</v>
      </c>
      <c r="L261" s="156"/>
    </row>
    <row r="262" spans="1:12" ht="14.25" customHeight="1">
      <c r="A262" s="99">
        <v>261</v>
      </c>
      <c r="B262" s="100" t="str">
        <f t="shared" si="9"/>
        <v>LED_Tube-T8-1.2M-6X-50W</v>
      </c>
      <c r="C262" s="151" t="str">
        <f t="shared" ref="C262:E262" si="14">C260</f>
        <v>LED_Tube</v>
      </c>
      <c r="D262" s="152" t="str">
        <f t="shared" si="14"/>
        <v>LED</v>
      </c>
      <c r="E262" s="153" t="str">
        <f t="shared" si="14"/>
        <v>Interior</v>
      </c>
      <c r="F262" s="153" t="str">
        <f t="shared" si="11"/>
        <v>T8</v>
      </c>
      <c r="G262" s="154" t="str">
        <f t="shared" si="12"/>
        <v>1.2M-</v>
      </c>
      <c r="H262" s="154" t="s">
        <v>941</v>
      </c>
      <c r="I262" s="154">
        <v>50</v>
      </c>
      <c r="J262" s="64">
        <f>IFERROR(K262*I262*VLOOKUP(C262,Mnu!$E$20:$F$37,2,FALSE)," ")</f>
        <v>22500</v>
      </c>
      <c r="K262" s="155">
        <v>6</v>
      </c>
      <c r="L262" s="156"/>
    </row>
    <row r="263" spans="1:12" ht="14.25" customHeight="1">
      <c r="A263" s="99">
        <v>262</v>
      </c>
      <c r="B263" s="100" t="str">
        <f t="shared" si="9"/>
        <v>LED_Tube-T8-1.2M-3X-50W</v>
      </c>
      <c r="C263" s="151" t="str">
        <f t="shared" ref="C263:E263" si="15">C261</f>
        <v>LED_Tube</v>
      </c>
      <c r="D263" s="152" t="str">
        <f t="shared" si="15"/>
        <v>LED</v>
      </c>
      <c r="E263" s="153" t="str">
        <f t="shared" si="15"/>
        <v>Interior</v>
      </c>
      <c r="F263" s="153" t="str">
        <f t="shared" si="11"/>
        <v>T8</v>
      </c>
      <c r="G263" s="154" t="str">
        <f t="shared" si="12"/>
        <v>1.2M-</v>
      </c>
      <c r="H263" s="154" t="s">
        <v>100</v>
      </c>
      <c r="I263" s="154">
        <v>50</v>
      </c>
      <c r="J263" s="64">
        <f>IFERROR(K263*I263*VLOOKUP(C263,Mnu!$E$20:$F$37,2,FALSE)," ")</f>
        <v>11250</v>
      </c>
      <c r="K263" s="155">
        <v>3</v>
      </c>
      <c r="L263" s="156"/>
    </row>
    <row r="264" spans="1:12" ht="14.25" customHeight="1">
      <c r="A264" s="99">
        <v>263</v>
      </c>
      <c r="B264" s="100" t="str">
        <f t="shared" si="9"/>
        <v>LED_Tube-T8-1.2M-4X-50W</v>
      </c>
      <c r="C264" s="151" t="str">
        <f t="shared" ref="C264:E265" si="16">C262</f>
        <v>LED_Tube</v>
      </c>
      <c r="D264" s="152" t="str">
        <f t="shared" si="16"/>
        <v>LED</v>
      </c>
      <c r="E264" s="153" t="str">
        <f t="shared" si="16"/>
        <v>Interior</v>
      </c>
      <c r="F264" s="153" t="str">
        <f t="shared" si="11"/>
        <v>T8</v>
      </c>
      <c r="G264" s="154" t="str">
        <f t="shared" si="12"/>
        <v>1.2M-</v>
      </c>
      <c r="H264" s="154" t="s">
        <v>101</v>
      </c>
      <c r="I264" s="154">
        <v>50</v>
      </c>
      <c r="J264" s="64">
        <f>IFERROR(K264*I264*VLOOKUP(C264,Mnu!$E$20:$F$37,2,FALSE)," ")</f>
        <v>15000</v>
      </c>
      <c r="K264" s="155">
        <v>4</v>
      </c>
      <c r="L264" s="156"/>
    </row>
    <row r="265" spans="1:12" ht="14.25" customHeight="1">
      <c r="A265" s="99">
        <v>264</v>
      </c>
      <c r="B265" s="100" t="str">
        <f t="shared" si="9"/>
        <v>LED_Tube-T8-1.2M-11X-20W</v>
      </c>
      <c r="C265" s="151" t="str">
        <f t="shared" si="16"/>
        <v>LED_Tube</v>
      </c>
      <c r="D265" s="152" t="str">
        <f t="shared" si="16"/>
        <v>LED</v>
      </c>
      <c r="E265" s="153" t="str">
        <f t="shared" si="16"/>
        <v>Interior</v>
      </c>
      <c r="F265" s="153" t="str">
        <f t="shared" si="11"/>
        <v>T8</v>
      </c>
      <c r="G265" s="154" t="str">
        <f t="shared" ref="G265" si="17">G264</f>
        <v>1.2M-</v>
      </c>
      <c r="H265" s="154" t="s">
        <v>942</v>
      </c>
      <c r="I265" s="154">
        <v>20</v>
      </c>
      <c r="J265" s="64">
        <f>IFERROR(K265*I265*VLOOKUP(C265,Mnu!$E$20:$F$37,2,FALSE)," ")</f>
        <v>16500</v>
      </c>
      <c r="K265" s="155">
        <v>11</v>
      </c>
      <c r="L265" s="156"/>
    </row>
    <row r="266" spans="1:12" ht="14.25" customHeight="1">
      <c r="A266" s="99">
        <v>265</v>
      </c>
      <c r="B266" s="100" t="str">
        <f t="shared" si="9"/>
        <v>Conv-FTL-T8-1.2M-3X-48W</v>
      </c>
      <c r="C266" s="151" t="str">
        <f>C258</f>
        <v>FTL</v>
      </c>
      <c r="D266" s="152" t="s">
        <v>81</v>
      </c>
      <c r="E266" s="153" t="s">
        <v>90</v>
      </c>
      <c r="F266" s="153" t="s">
        <v>89</v>
      </c>
      <c r="G266" s="154" t="str">
        <f>G265</f>
        <v>1.2M-</v>
      </c>
      <c r="H266" s="154" t="s">
        <v>100</v>
      </c>
      <c r="I266" s="154">
        <v>48</v>
      </c>
      <c r="J266" s="64">
        <f>IFERROR(K266*I266*VLOOKUP(C266,Mnu!$E$20:$F$37,2,FALSE)," ")</f>
        <v>7200</v>
      </c>
      <c r="K266" s="155">
        <v>3</v>
      </c>
      <c r="L266" s="156"/>
    </row>
    <row r="267" spans="1:12" ht="14.25" customHeight="1">
      <c r="A267" s="99">
        <v>266</v>
      </c>
      <c r="B267" s="100" t="str">
        <f t="shared" si="9"/>
        <v>Conv-FTL-T8-1.2M-1X-60W</v>
      </c>
      <c r="C267" s="151" t="str">
        <f>C266</f>
        <v>FTL</v>
      </c>
      <c r="D267" s="152" t="str">
        <f>D266</f>
        <v>Conv</v>
      </c>
      <c r="E267" s="153" t="str">
        <f>E266</f>
        <v>Interior</v>
      </c>
      <c r="F267" s="153" t="str">
        <f>F266</f>
        <v>T8</v>
      </c>
      <c r="G267" s="154" t="str">
        <f>G266</f>
        <v>1.2M-</v>
      </c>
      <c r="H267" s="154" t="s">
        <v>98</v>
      </c>
      <c r="I267" s="154">
        <v>60</v>
      </c>
      <c r="J267" s="64">
        <f>IFERROR(K267*I267*VLOOKUP(C267,Mnu!$E$20:$F$37,2,FALSE)," ")</f>
        <v>3000</v>
      </c>
      <c r="K267" s="155">
        <v>1</v>
      </c>
      <c r="L267" s="156"/>
    </row>
    <row r="268" spans="1:12" ht="14.25" customHeight="1">
      <c r="A268" s="99">
        <v>267</v>
      </c>
      <c r="B268" s="100" t="str">
        <f t="shared" si="9"/>
        <v>LED_Tube-T8-1.2M-2X-50W</v>
      </c>
      <c r="C268" s="151" t="str">
        <f>C265</f>
        <v>LED_Tube</v>
      </c>
      <c r="D268" s="152" t="str">
        <f>D265</f>
        <v>LED</v>
      </c>
      <c r="E268" s="153" t="str">
        <f>E266</f>
        <v>Interior</v>
      </c>
      <c r="F268" s="153" t="str">
        <f>F267</f>
        <v>T8</v>
      </c>
      <c r="G268" s="154" t="str">
        <f>G267</f>
        <v>1.2M-</v>
      </c>
      <c r="H268" s="154" t="s">
        <v>99</v>
      </c>
      <c r="I268" s="154">
        <v>50</v>
      </c>
      <c r="J268" s="64">
        <f>IFERROR(K268*I268*VLOOKUP(C268,Mnu!$E$20:$F$37,2,FALSE)," ")</f>
        <v>7500</v>
      </c>
      <c r="K268" s="155">
        <v>2</v>
      </c>
      <c r="L268" s="156"/>
    </row>
    <row r="269" spans="1:12" ht="14.25" customHeight="1">
      <c r="A269" s="99">
        <v>268</v>
      </c>
      <c r="B269" s="100" t="str">
        <f t="shared" si="9"/>
        <v>LED_Tube-T5-1.5m2X-37W</v>
      </c>
      <c r="C269" s="151" t="str">
        <f>C268</f>
        <v>LED_Tube</v>
      </c>
      <c r="D269" s="152" t="s">
        <v>82</v>
      </c>
      <c r="E269" s="153" t="s">
        <v>90</v>
      </c>
      <c r="F269" s="153" t="s">
        <v>94</v>
      </c>
      <c r="G269" s="154" t="s">
        <v>944</v>
      </c>
      <c r="H269" s="154" t="s">
        <v>99</v>
      </c>
      <c r="I269" s="154">
        <v>37</v>
      </c>
      <c r="J269" s="64">
        <f>IFERROR(K269*I269*VLOOKUP(C269,Mnu!$E$20:$F$37,2,FALSE)," ")</f>
        <v>5550</v>
      </c>
      <c r="K269" s="155">
        <v>2</v>
      </c>
      <c r="L269" s="156"/>
    </row>
    <row r="270" spans="1:12" ht="14.25" customHeight="1">
      <c r="A270" s="99">
        <v>269</v>
      </c>
      <c r="B270" s="100" t="str">
        <f t="shared" si="9"/>
        <v>LED_Downlight-3"-1X-7W</v>
      </c>
      <c r="C270" s="151" t="s">
        <v>190</v>
      </c>
      <c r="D270" s="152" t="s">
        <v>82</v>
      </c>
      <c r="E270" s="153" t="s">
        <v>90</v>
      </c>
      <c r="F270" s="153" t="s">
        <v>317</v>
      </c>
      <c r="G270" s="154"/>
      <c r="H270" s="154" t="s">
        <v>98</v>
      </c>
      <c r="I270" s="154">
        <v>7</v>
      </c>
      <c r="J270" s="64">
        <f>IFERROR(K270*I270*VLOOKUP(C270,Mnu!$E$20:$F$37,2,FALSE)," ")</f>
        <v>525</v>
      </c>
      <c r="K270" s="155">
        <v>1</v>
      </c>
      <c r="L270" s="156"/>
    </row>
    <row r="271" spans="1:12" ht="14.25" customHeight="1">
      <c r="A271" s="99">
        <v>270</v>
      </c>
      <c r="B271" s="100" t="str">
        <f t="shared" si="9"/>
        <v>LED_Downlight-6"-1X-18W</v>
      </c>
      <c r="C271" s="151" t="s">
        <v>190</v>
      </c>
      <c r="D271" s="152" t="s">
        <v>82</v>
      </c>
      <c r="E271" s="153" t="s">
        <v>90</v>
      </c>
      <c r="F271" s="153" t="s">
        <v>230</v>
      </c>
      <c r="G271" s="154"/>
      <c r="H271" s="154" t="s">
        <v>98</v>
      </c>
      <c r="I271" s="154">
        <v>18</v>
      </c>
      <c r="J271" s="64">
        <f>IFERROR(K271*I271*VLOOKUP(C271,Mnu!$E$20:$F$37,2,FALSE)," ")</f>
        <v>1350</v>
      </c>
      <c r="K271" s="155">
        <v>1</v>
      </c>
      <c r="L271" s="156"/>
    </row>
    <row r="272" spans="1:12" ht="14.25" customHeight="1">
      <c r="A272" s="99">
        <v>271</v>
      </c>
      <c r="B272" s="100" t="str">
        <f t="shared" si="9"/>
        <v>LED_Downlight-surface 10"-1X-20W</v>
      </c>
      <c r="C272" s="151" t="s">
        <v>190</v>
      </c>
      <c r="D272" s="152" t="s">
        <v>82</v>
      </c>
      <c r="E272" s="153" t="s">
        <v>90</v>
      </c>
      <c r="F272" s="153" t="s">
        <v>947</v>
      </c>
      <c r="G272" s="154"/>
      <c r="H272" s="154" t="s">
        <v>98</v>
      </c>
      <c r="I272" s="154">
        <v>20</v>
      </c>
      <c r="J272" s="64">
        <f>IFERROR(K272*I272*VLOOKUP(C272,Mnu!$E$20:$F$37,2,FALSE)," ")</f>
        <v>1500</v>
      </c>
      <c r="K272" s="155">
        <v>1</v>
      </c>
      <c r="L272" s="156"/>
    </row>
    <row r="273" spans="1:12" ht="14.25" customHeight="1">
      <c r="A273" s="99">
        <v>272</v>
      </c>
      <c r="B273" s="100" t="str">
        <f t="shared" si="9"/>
        <v>LED_Downlight-surface 10"-1X-35W</v>
      </c>
      <c r="C273" s="151" t="s">
        <v>190</v>
      </c>
      <c r="D273" s="152" t="s">
        <v>82</v>
      </c>
      <c r="E273" s="153" t="s">
        <v>90</v>
      </c>
      <c r="F273" s="153" t="s">
        <v>947</v>
      </c>
      <c r="G273" s="154"/>
      <c r="H273" s="154" t="s">
        <v>98</v>
      </c>
      <c r="I273" s="154">
        <v>35</v>
      </c>
      <c r="J273" s="64">
        <f>IFERROR(K273*I273*VLOOKUP(C273,Mnu!$E$20:$F$37,2,FALSE)," ")</f>
        <v>2625</v>
      </c>
      <c r="K273" s="155">
        <v>1</v>
      </c>
      <c r="L273" s="156"/>
    </row>
    <row r="274" spans="1:12" ht="14.25" customHeight="1">
      <c r="A274" s="99">
        <v>273</v>
      </c>
      <c r="B274" s="100" t="str">
        <f t="shared" si="9"/>
        <v>LED_Downlight-surface 8"-1X-18W</v>
      </c>
      <c r="C274" s="151" t="s">
        <v>190</v>
      </c>
      <c r="D274" s="152" t="s">
        <v>82</v>
      </c>
      <c r="E274" s="153" t="s">
        <v>90</v>
      </c>
      <c r="F274" s="153" t="s">
        <v>946</v>
      </c>
      <c r="G274" s="154"/>
      <c r="H274" s="154" t="s">
        <v>98</v>
      </c>
      <c r="I274" s="154">
        <v>18</v>
      </c>
      <c r="J274" s="64">
        <f>IFERROR(K274*I274*VLOOKUP(C274,Mnu!$E$20:$F$37,2,FALSE)," ")</f>
        <v>1350</v>
      </c>
      <c r="K274" s="155">
        <v>1</v>
      </c>
      <c r="L274" s="156"/>
    </row>
    <row r="275" spans="1:12" ht="14.25" customHeight="1">
      <c r="A275" s="99">
        <v>274</v>
      </c>
      <c r="B275" s="100" t="str">
        <f t="shared" si="9"/>
        <v>Conv-Halogen-E27-1X-100W</v>
      </c>
      <c r="C275" s="151" t="s">
        <v>142</v>
      </c>
      <c r="D275" s="152" t="s">
        <v>81</v>
      </c>
      <c r="E275" s="153" t="s">
        <v>90</v>
      </c>
      <c r="F275" s="153" t="s">
        <v>104</v>
      </c>
      <c r="G275" s="154"/>
      <c r="H275" s="154" t="s">
        <v>98</v>
      </c>
      <c r="I275" s="154">
        <v>100</v>
      </c>
      <c r="J275" s="64">
        <f>IFERROR(K275*I275*VLOOKUP(C275,Mnu!$E$20:$F$37,2,FALSE)," ")</f>
        <v>1000</v>
      </c>
      <c r="K275" s="155">
        <v>1</v>
      </c>
      <c r="L275" s="156"/>
    </row>
    <row r="276" spans="1:12" ht="14.25" customHeight="1">
      <c r="A276" s="99">
        <v>275</v>
      </c>
      <c r="B276" s="100" t="str">
        <f t="shared" si="9"/>
        <v>Conv-CFL-Bulb E27-1X-14W</v>
      </c>
      <c r="C276" s="151" t="s">
        <v>93</v>
      </c>
      <c r="D276" s="152" t="s">
        <v>81</v>
      </c>
      <c r="E276" s="153" t="s">
        <v>90</v>
      </c>
      <c r="F276" s="153" t="s">
        <v>956</v>
      </c>
      <c r="G276" s="154"/>
      <c r="H276" s="154" t="s">
        <v>98</v>
      </c>
      <c r="I276" s="154">
        <v>14</v>
      </c>
      <c r="J276" s="64">
        <f>IFERROR(K276*I276*VLOOKUP(C276,Mnu!$E$20:$F$37,2,FALSE)," ")</f>
        <v>700</v>
      </c>
      <c r="K276" s="155">
        <v>1</v>
      </c>
      <c r="L276" s="156"/>
    </row>
    <row r="277" spans="1:12" ht="14.25" customHeight="1">
      <c r="A277" s="99">
        <v>276</v>
      </c>
      <c r="B277" s="100" t="str">
        <f t="shared" si="9"/>
        <v>Conv-MH-Bulb E27-1X-35W</v>
      </c>
      <c r="C277" s="151" t="s">
        <v>109</v>
      </c>
      <c r="D277" s="152" t="s">
        <v>81</v>
      </c>
      <c r="E277" s="153" t="s">
        <v>90</v>
      </c>
      <c r="F277" s="153" t="s">
        <v>956</v>
      </c>
      <c r="G277" s="154"/>
      <c r="H277" s="154" t="s">
        <v>98</v>
      </c>
      <c r="I277" s="154">
        <v>35</v>
      </c>
      <c r="J277" s="64">
        <f>IFERROR(K277*I277*VLOOKUP(C277,Mnu!$E$20:$F$37,2,FALSE)," ")</f>
        <v>1750</v>
      </c>
      <c r="K277" s="155">
        <v>1</v>
      </c>
      <c r="L277" s="156"/>
    </row>
    <row r="278" spans="1:12" ht="14.25" customHeight="1">
      <c r="A278" s="99">
        <v>277</v>
      </c>
      <c r="B278" s="100" t="str">
        <f t="shared" si="9"/>
        <v>Conv-Incandescent-High Bay-1X-250W</v>
      </c>
      <c r="C278" s="151" t="s">
        <v>145</v>
      </c>
      <c r="D278" s="152" t="s">
        <v>81</v>
      </c>
      <c r="E278" s="153" t="s">
        <v>90</v>
      </c>
      <c r="F278" s="153" t="s">
        <v>118</v>
      </c>
      <c r="G278" s="154"/>
      <c r="H278" s="154" t="s">
        <v>98</v>
      </c>
      <c r="I278" s="154">
        <v>250</v>
      </c>
      <c r="J278" s="64">
        <f>IFERROR(K278*I278*VLOOKUP(C278,Mnu!$E$20:$F$37,2,FALSE)," ")</f>
        <v>2500</v>
      </c>
      <c r="K278" s="155">
        <v>1</v>
      </c>
      <c r="L278" s="156"/>
    </row>
    <row r="279" spans="1:12" ht="14.25" customHeight="1">
      <c r="A279" s="99">
        <v>278</v>
      </c>
      <c r="B279" s="100" t="str">
        <f t="shared" si="9"/>
        <v>Conv-Halogen-Spot Light-1X-20W</v>
      </c>
      <c r="C279" s="151" t="s">
        <v>142</v>
      </c>
      <c r="D279" s="152" t="s">
        <v>81</v>
      </c>
      <c r="E279" s="153" t="s">
        <v>90</v>
      </c>
      <c r="F279" s="153" t="s">
        <v>115</v>
      </c>
      <c r="G279" s="154"/>
      <c r="H279" s="154" t="s">
        <v>98</v>
      </c>
      <c r="I279" s="154">
        <v>20</v>
      </c>
      <c r="J279" s="64">
        <f>IFERROR(K279*I279*VLOOKUP(C279,Mnu!$E$20:$F$37,2,FALSE)," ")</f>
        <v>200</v>
      </c>
      <c r="K279" s="155">
        <v>1</v>
      </c>
      <c r="L279" s="156"/>
    </row>
    <row r="280" spans="1:12" ht="14.25" customHeight="1">
      <c r="A280" s="99">
        <v>279</v>
      </c>
      <c r="B280" s="100" t="str">
        <f t="shared" si="9"/>
        <v>Conv-MV-Street Light-1X-150W</v>
      </c>
      <c r="C280" s="151" t="s">
        <v>114</v>
      </c>
      <c r="D280" s="152" t="s">
        <v>81</v>
      </c>
      <c r="E280" s="153" t="s">
        <v>110</v>
      </c>
      <c r="F280" s="153" t="s">
        <v>117</v>
      </c>
      <c r="G280" s="154"/>
      <c r="H280" s="154" t="s">
        <v>98</v>
      </c>
      <c r="I280" s="154">
        <v>150</v>
      </c>
      <c r="J280" s="64">
        <f>IFERROR(K280*I280*VLOOKUP(C280,Mnu!$E$20:$F$37,2,FALSE)," ")</f>
        <v>5250</v>
      </c>
      <c r="K280" s="155">
        <v>1</v>
      </c>
      <c r="L280" s="156"/>
    </row>
    <row r="281" spans="1:12" ht="14.25" customHeight="1">
      <c r="A281" s="99">
        <v>280</v>
      </c>
      <c r="B281" s="100" t="str">
        <f t="shared" si="9"/>
        <v>Conv-MH-Street Light-1X-250W</v>
      </c>
      <c r="C281" s="151" t="s">
        <v>109</v>
      </c>
      <c r="D281" s="152" t="s">
        <v>81</v>
      </c>
      <c r="E281" s="153" t="s">
        <v>110</v>
      </c>
      <c r="F281" s="153" t="s">
        <v>117</v>
      </c>
      <c r="G281" s="154"/>
      <c r="H281" s="154" t="s">
        <v>98</v>
      </c>
      <c r="I281" s="154">
        <v>250</v>
      </c>
      <c r="J281" s="64">
        <f>IFERROR(K281*I281*VLOOKUP(C281,Mnu!$E$20:$F$37,2,FALSE)," ")</f>
        <v>12500</v>
      </c>
      <c r="K281" s="155">
        <v>1</v>
      </c>
      <c r="L281" s="156"/>
    </row>
    <row r="282" spans="1:12" ht="14.25" customHeight="1">
      <c r="A282" s="99">
        <v>281</v>
      </c>
      <c r="B282" s="100" t="str">
        <f t="shared" si="9"/>
        <v>Conv-MH-Street Light-1X-400W</v>
      </c>
      <c r="C282" s="151" t="s">
        <v>109</v>
      </c>
      <c r="D282" s="152" t="s">
        <v>81</v>
      </c>
      <c r="E282" s="153" t="s">
        <v>110</v>
      </c>
      <c r="F282" s="153" t="s">
        <v>117</v>
      </c>
      <c r="G282" s="154"/>
      <c r="H282" s="154" t="s">
        <v>98</v>
      </c>
      <c r="I282" s="154">
        <v>400</v>
      </c>
      <c r="J282" s="64">
        <f>IFERROR(K282*I282*VLOOKUP(C282,Mnu!$E$20:$F$37,2,FALSE)," ")</f>
        <v>20000</v>
      </c>
      <c r="K282" s="155">
        <v>1</v>
      </c>
      <c r="L282" s="156"/>
    </row>
    <row r="283" spans="1:12" ht="14.25" customHeight="1">
      <c r="A283" s="99">
        <v>282</v>
      </c>
      <c r="B283" s="100" t="str">
        <f t="shared" si="9"/>
        <v>Conv-FTL-T8-1.2M-1X-18W</v>
      </c>
      <c r="C283" s="151" t="s">
        <v>80</v>
      </c>
      <c r="D283" s="152" t="s">
        <v>81</v>
      </c>
      <c r="E283" s="153" t="s">
        <v>90</v>
      </c>
      <c r="F283" s="153" t="s">
        <v>89</v>
      </c>
      <c r="G283" s="154" t="s">
        <v>102</v>
      </c>
      <c r="H283" s="154" t="s">
        <v>98</v>
      </c>
      <c r="I283" s="154">
        <v>18</v>
      </c>
      <c r="J283" s="64">
        <f>IFERROR(K283*I283*VLOOKUP(C283,Mnu!$E$20:$F$37,2,FALSE)," ")</f>
        <v>900</v>
      </c>
      <c r="K283" s="155">
        <v>1</v>
      </c>
      <c r="L283" s="156"/>
    </row>
    <row r="284" spans="1:12" ht="14.25" customHeight="1">
      <c r="A284" s="99">
        <v>283</v>
      </c>
      <c r="B284" s="100" t="str">
        <f t="shared" si="9"/>
        <v>Conv-FTL-T8-0.6M-1X-20W</v>
      </c>
      <c r="C284" s="151" t="s">
        <v>80</v>
      </c>
      <c r="D284" s="152" t="s">
        <v>81</v>
      </c>
      <c r="E284" s="153" t="s">
        <v>90</v>
      </c>
      <c r="F284" s="153" t="s">
        <v>89</v>
      </c>
      <c r="G284" s="154" t="s">
        <v>103</v>
      </c>
      <c r="H284" s="154" t="s">
        <v>98</v>
      </c>
      <c r="I284" s="154">
        <v>20</v>
      </c>
      <c r="J284" s="64">
        <f>IFERROR(K284*I284*VLOOKUP(C284,Mnu!$E$20:$F$37,2,FALSE)," ")</f>
        <v>1000</v>
      </c>
      <c r="K284" s="155">
        <v>1</v>
      </c>
      <c r="L284" s="156"/>
    </row>
    <row r="285" spans="1:12" ht="14.25" customHeight="1">
      <c r="A285" s="99">
        <v>284</v>
      </c>
      <c r="B285" s="100" t="str">
        <f t="shared" si="9"/>
        <v>Conv-FTL-T8-1.2M-1X-20W</v>
      </c>
      <c r="C285" s="151" t="s">
        <v>80</v>
      </c>
      <c r="D285" s="152" t="s">
        <v>81</v>
      </c>
      <c r="E285" s="153" t="s">
        <v>90</v>
      </c>
      <c r="F285" s="153" t="s">
        <v>89</v>
      </c>
      <c r="G285" s="154" t="s">
        <v>102</v>
      </c>
      <c r="H285" s="154" t="s">
        <v>98</v>
      </c>
      <c r="I285" s="154">
        <v>20</v>
      </c>
      <c r="J285" s="64">
        <f>IFERROR(K285*I285*VLOOKUP(C285,Mnu!$E$20:$F$37,2,FALSE)," ")</f>
        <v>1000</v>
      </c>
      <c r="K285" s="155">
        <v>1</v>
      </c>
      <c r="L285" s="156"/>
    </row>
    <row r="286" spans="1:12" ht="14.25" customHeight="1">
      <c r="A286" s="99">
        <v>285</v>
      </c>
      <c r="B286" s="100" t="str">
        <f t="shared" si="9"/>
        <v>Conv-FTL-T8-1.2M-1X-28W</v>
      </c>
      <c r="C286" s="151" t="s">
        <v>80</v>
      </c>
      <c r="D286" s="152" t="s">
        <v>81</v>
      </c>
      <c r="E286" s="153" t="s">
        <v>90</v>
      </c>
      <c r="F286" s="153" t="s">
        <v>89</v>
      </c>
      <c r="G286" s="154" t="s">
        <v>102</v>
      </c>
      <c r="H286" s="154" t="s">
        <v>98</v>
      </c>
      <c r="I286" s="154">
        <v>28</v>
      </c>
      <c r="J286" s="64">
        <f>IFERROR(K286*I286*VLOOKUP(C286,Mnu!$E$20:$F$37,2,FALSE)," ")</f>
        <v>1400</v>
      </c>
      <c r="K286" s="155">
        <v>1</v>
      </c>
      <c r="L286" s="156"/>
    </row>
    <row r="287" spans="1:12" ht="14.25" customHeight="1">
      <c r="A287" s="99">
        <v>286</v>
      </c>
      <c r="B287" s="100" t="str">
        <f t="shared" si="9"/>
        <v>Conv-FTL-T8-0.6M-1X-36W</v>
      </c>
      <c r="C287" s="151" t="s">
        <v>80</v>
      </c>
      <c r="D287" s="152" t="s">
        <v>81</v>
      </c>
      <c r="E287" s="153" t="s">
        <v>90</v>
      </c>
      <c r="F287" s="153" t="s">
        <v>89</v>
      </c>
      <c r="G287" s="154" t="s">
        <v>103</v>
      </c>
      <c r="H287" s="154" t="s">
        <v>98</v>
      </c>
      <c r="I287" s="154">
        <v>36</v>
      </c>
      <c r="J287" s="64">
        <f>IFERROR(K287*I287*VLOOKUP(C287,Mnu!$E$20:$F$37,2,FALSE)," ")</f>
        <v>1800</v>
      </c>
      <c r="K287" s="155">
        <v>1</v>
      </c>
      <c r="L287" s="156"/>
    </row>
    <row r="288" spans="1:12" ht="14.25" customHeight="1">
      <c r="A288" s="99">
        <v>287</v>
      </c>
      <c r="B288" s="100" t="str">
        <f t="shared" si="9"/>
        <v>Conv-FTL-T8-0.6M-1X-40W</v>
      </c>
      <c r="C288" s="151" t="s">
        <v>80</v>
      </c>
      <c r="D288" s="152" t="s">
        <v>81</v>
      </c>
      <c r="E288" s="153" t="s">
        <v>90</v>
      </c>
      <c r="F288" s="153" t="s">
        <v>89</v>
      </c>
      <c r="G288" s="154" t="s">
        <v>103</v>
      </c>
      <c r="H288" s="154" t="s">
        <v>98</v>
      </c>
      <c r="I288" s="154">
        <v>40</v>
      </c>
      <c r="J288" s="64">
        <f>IFERROR(K288*I288*VLOOKUP(C288,Mnu!$E$20:$F$37,2,FALSE)," ")</f>
        <v>2000</v>
      </c>
      <c r="K288" s="155">
        <v>1</v>
      </c>
      <c r="L288" s="156"/>
    </row>
    <row r="289" spans="1:12" ht="14.25" customHeight="1">
      <c r="A289" s="99">
        <v>288</v>
      </c>
      <c r="B289" s="100" t="str">
        <f t="shared" si="9"/>
        <v>Conv-FTL-T8-1.2M-1X-40W</v>
      </c>
      <c r="C289" s="151" t="s">
        <v>80</v>
      </c>
      <c r="D289" s="152" t="s">
        <v>81</v>
      </c>
      <c r="E289" s="153" t="s">
        <v>90</v>
      </c>
      <c r="F289" s="153" t="s">
        <v>89</v>
      </c>
      <c r="G289" s="154" t="s">
        <v>102</v>
      </c>
      <c r="H289" s="154" t="s">
        <v>98</v>
      </c>
      <c r="I289" s="154">
        <v>40</v>
      </c>
      <c r="J289" s="64">
        <f>IFERROR(K289*I289*VLOOKUP(C289,Mnu!$E$20:$F$37,2,FALSE)," ")</f>
        <v>2000</v>
      </c>
      <c r="K289" s="155">
        <v>1</v>
      </c>
      <c r="L289" s="156"/>
    </row>
    <row r="290" spans="1:12" ht="14.25" customHeight="1">
      <c r="A290" s="99">
        <v>289</v>
      </c>
      <c r="B290" s="100" t="str">
        <f t="shared" si="9"/>
        <v>LED_Stick- E27-1X-20W</v>
      </c>
      <c r="C290" s="151" t="s">
        <v>193</v>
      </c>
      <c r="D290" s="152" t="s">
        <v>82</v>
      </c>
      <c r="E290" s="153" t="s">
        <v>90</v>
      </c>
      <c r="F290" s="153" t="s">
        <v>957</v>
      </c>
      <c r="G290" s="154"/>
      <c r="H290" s="154" t="s">
        <v>98</v>
      </c>
      <c r="I290" s="154">
        <v>20</v>
      </c>
      <c r="J290" s="64">
        <f>IFERROR(K290*I290*VLOOKUP(C290,Mnu!$E$20:$F$37,2,FALSE)," ")</f>
        <v>1500</v>
      </c>
      <c r="K290" s="155">
        <v>1</v>
      </c>
      <c r="L290" s="156"/>
    </row>
    <row r="291" spans="1:12" ht="14.25" customHeight="1">
      <c r="A291" s="99">
        <v>290</v>
      </c>
      <c r="B291" s="100" t="str">
        <f t="shared" si="9"/>
        <v>LED_Bulb- E27-1X-24W</v>
      </c>
      <c r="C291" s="151" t="s">
        <v>189</v>
      </c>
      <c r="D291" s="152" t="s">
        <v>82</v>
      </c>
      <c r="E291" s="153" t="s">
        <v>90</v>
      </c>
      <c r="F291" s="153" t="s">
        <v>957</v>
      </c>
      <c r="G291" s="154"/>
      <c r="H291" s="154" t="s">
        <v>98</v>
      </c>
      <c r="I291" s="154">
        <v>24</v>
      </c>
      <c r="J291" s="64">
        <f>IFERROR(K291*I291*VLOOKUP(C291,Mnu!$E$20:$F$37,2,FALSE)," ")</f>
        <v>1800</v>
      </c>
      <c r="K291" s="155">
        <v>1</v>
      </c>
      <c r="L291" s="156"/>
    </row>
    <row r="292" spans="1:12" ht="14.25" customHeight="1">
      <c r="A292" s="99">
        <v>291</v>
      </c>
      <c r="B292" s="100" t="str">
        <f t="shared" si="9"/>
        <v>LED_Bulb- E27-1X-40W</v>
      </c>
      <c r="C292" s="151" t="s">
        <v>189</v>
      </c>
      <c r="D292" s="152" t="s">
        <v>82</v>
      </c>
      <c r="E292" s="153" t="s">
        <v>90</v>
      </c>
      <c r="F292" s="153" t="s">
        <v>957</v>
      </c>
      <c r="G292" s="154"/>
      <c r="H292" s="154" t="s">
        <v>98</v>
      </c>
      <c r="I292" s="154">
        <v>40</v>
      </c>
      <c r="J292" s="64">
        <f>IFERROR(K292*I292*VLOOKUP(C292,Mnu!$E$20:$F$37,2,FALSE)," ")</f>
        <v>3000</v>
      </c>
      <c r="K292" s="155">
        <v>1</v>
      </c>
      <c r="L292" s="156"/>
    </row>
    <row r="293" spans="1:12" ht="14.25" customHeight="1">
      <c r="A293" s="99">
        <v>292</v>
      </c>
      <c r="B293" s="100" t="str">
        <f t="shared" si="9"/>
        <v>LED_Panel_light-60*60-1X-20W</v>
      </c>
      <c r="C293" s="151" t="s">
        <v>766</v>
      </c>
      <c r="D293" s="152" t="s">
        <v>82</v>
      </c>
      <c r="E293" s="153" t="s">
        <v>90</v>
      </c>
      <c r="F293" s="153" t="s">
        <v>958</v>
      </c>
      <c r="G293" s="154"/>
      <c r="H293" s="154" t="s">
        <v>98</v>
      </c>
      <c r="I293" s="154">
        <v>20</v>
      </c>
      <c r="J293" s="64">
        <f>IFERROR(K293*I293*VLOOKUP(C293,Mnu!$E$20:$F$37,2,FALSE)," ")</f>
        <v>1500</v>
      </c>
      <c r="K293" s="155">
        <v>1</v>
      </c>
      <c r="L293" s="156"/>
    </row>
    <row r="294" spans="1:12" ht="14.25" customHeight="1">
      <c r="A294" s="99">
        <v>293</v>
      </c>
      <c r="B294" s="100" t="str">
        <f t="shared" si="9"/>
        <v>LED_Panel_light-60*60-1X-30W</v>
      </c>
      <c r="C294" s="151" t="s">
        <v>766</v>
      </c>
      <c r="D294" s="152" t="s">
        <v>82</v>
      </c>
      <c r="E294" s="153" t="s">
        <v>90</v>
      </c>
      <c r="F294" s="153" t="s">
        <v>958</v>
      </c>
      <c r="G294" s="154"/>
      <c r="H294" s="154" t="s">
        <v>98</v>
      </c>
      <c r="I294" s="154">
        <v>30</v>
      </c>
      <c r="J294" s="64">
        <f>IFERROR(K294*I294*VLOOKUP(C294,Mnu!$E$20:$F$37,2,FALSE)," ")</f>
        <v>2250</v>
      </c>
      <c r="K294" s="155">
        <v>1</v>
      </c>
      <c r="L294" s="156"/>
    </row>
    <row r="295" spans="1:12" ht="14.25" customHeight="1">
      <c r="A295" s="99">
        <v>294</v>
      </c>
      <c r="B295" s="100" t="str">
        <f t="shared" si="9"/>
        <v>LED_Panel_light-120*60-1X-72W</v>
      </c>
      <c r="C295" s="151" t="s">
        <v>766</v>
      </c>
      <c r="D295" s="152" t="s">
        <v>82</v>
      </c>
      <c r="E295" s="153" t="s">
        <v>90</v>
      </c>
      <c r="F295" s="153" t="s">
        <v>959</v>
      </c>
      <c r="G295" s="154"/>
      <c r="H295" s="154" t="s">
        <v>98</v>
      </c>
      <c r="I295" s="154">
        <v>72</v>
      </c>
      <c r="J295" s="64">
        <f>IFERROR(K295*I295*VLOOKUP(C295,Mnu!$E$20:$F$37,2,FALSE)," ")</f>
        <v>5400</v>
      </c>
      <c r="K295" s="155">
        <v>1</v>
      </c>
      <c r="L295" s="156"/>
    </row>
    <row r="296" spans="1:12" ht="14.25" customHeight="1">
      <c r="A296" s="99">
        <v>295</v>
      </c>
      <c r="B296" s="100" t="str">
        <f t="shared" si="9"/>
        <v>LED_Downlight-Square-10*10-1X-8W</v>
      </c>
      <c r="C296" s="151" t="s">
        <v>190</v>
      </c>
      <c r="D296" s="152" t="s">
        <v>82</v>
      </c>
      <c r="E296" s="153" t="s">
        <v>90</v>
      </c>
      <c r="F296" s="153" t="s">
        <v>209</v>
      </c>
      <c r="G296" s="154" t="s">
        <v>960</v>
      </c>
      <c r="H296" s="154" t="s">
        <v>98</v>
      </c>
      <c r="I296" s="154">
        <v>8</v>
      </c>
      <c r="J296" s="64">
        <f>IFERROR(K296*I296*VLOOKUP(C296,Mnu!$E$20:$F$37,2,FALSE)," ")</f>
        <v>600</v>
      </c>
      <c r="K296" s="155">
        <v>1</v>
      </c>
      <c r="L296" s="156"/>
    </row>
    <row r="297" spans="1:12" ht="14.25" customHeight="1">
      <c r="A297" s="99">
        <v>296</v>
      </c>
      <c r="B297" s="100" t="str">
        <f t="shared" si="9"/>
        <v>LED_Downlight-Square-12in-1X-17W</v>
      </c>
      <c r="C297" s="151" t="s">
        <v>190</v>
      </c>
      <c r="D297" s="152" t="s">
        <v>82</v>
      </c>
      <c r="E297" s="153" t="s">
        <v>90</v>
      </c>
      <c r="F297" s="153" t="s">
        <v>209</v>
      </c>
      <c r="G297" s="154" t="s">
        <v>961</v>
      </c>
      <c r="H297" s="154" t="s">
        <v>98</v>
      </c>
      <c r="I297" s="154">
        <v>17</v>
      </c>
      <c r="J297" s="64">
        <f>IFERROR(K297*I297*VLOOKUP(C297,Mnu!$E$20:$F$37,2,FALSE)," ")</f>
        <v>1275</v>
      </c>
      <c r="K297" s="155">
        <v>1</v>
      </c>
      <c r="L297" s="156"/>
    </row>
    <row r="298" spans="1:12" ht="14.25" customHeight="1">
      <c r="A298" s="99">
        <v>297</v>
      </c>
      <c r="B298" s="100" t="str">
        <f t="shared" si="9"/>
        <v>LED_Downlight-Square-17in-1X-22W</v>
      </c>
      <c r="C298" s="151" t="s">
        <v>190</v>
      </c>
      <c r="D298" s="152" t="s">
        <v>82</v>
      </c>
      <c r="E298" s="153" t="s">
        <v>90</v>
      </c>
      <c r="F298" s="153" t="s">
        <v>209</v>
      </c>
      <c r="G298" s="154" t="s">
        <v>962</v>
      </c>
      <c r="H298" s="154" t="s">
        <v>98</v>
      </c>
      <c r="I298" s="154">
        <v>22</v>
      </c>
      <c r="J298" s="64">
        <f>IFERROR(K298*I298*VLOOKUP(C298,Mnu!$E$20:$F$37,2,FALSE)," ")</f>
        <v>1650</v>
      </c>
      <c r="K298" s="155">
        <v>1</v>
      </c>
      <c r="L298" s="156"/>
    </row>
    <row r="299" spans="1:12" ht="14.25" customHeight="1">
      <c r="A299" s="99">
        <v>298</v>
      </c>
      <c r="B299" s="100" t="str">
        <f t="shared" si="9"/>
        <v>LED_Downlight-Surface-12in-1X-30W</v>
      </c>
      <c r="C299" s="151" t="s">
        <v>190</v>
      </c>
      <c r="D299" s="152" t="s">
        <v>82</v>
      </c>
      <c r="E299" s="153" t="s">
        <v>90</v>
      </c>
      <c r="F299" s="153" t="s">
        <v>963</v>
      </c>
      <c r="G299" s="154" t="s">
        <v>961</v>
      </c>
      <c r="H299" s="154" t="s">
        <v>98</v>
      </c>
      <c r="I299" s="154">
        <v>30</v>
      </c>
      <c r="J299" s="64">
        <f>IFERROR(K299*I299*VLOOKUP(C299,Mnu!$E$20:$F$37,2,FALSE)," ")</f>
        <v>2250</v>
      </c>
      <c r="K299" s="155">
        <v>1</v>
      </c>
      <c r="L299" s="156"/>
    </row>
    <row r="300" spans="1:12" ht="14.25" customHeight="1">
      <c r="A300" s="99">
        <v>299</v>
      </c>
      <c r="B300" s="100" t="str">
        <f t="shared" si="9"/>
        <v>LED_Tube-T8-0.6M-1X-14W</v>
      </c>
      <c r="C300" s="151" t="s">
        <v>187</v>
      </c>
      <c r="D300" s="152" t="s">
        <v>82</v>
      </c>
      <c r="E300" s="153" t="s">
        <v>90</v>
      </c>
      <c r="F300" s="153" t="s">
        <v>89</v>
      </c>
      <c r="G300" s="154" t="s">
        <v>103</v>
      </c>
      <c r="H300" s="154" t="s">
        <v>98</v>
      </c>
      <c r="I300" s="154">
        <v>14</v>
      </c>
      <c r="J300" s="64">
        <f>IFERROR(K300*I300*VLOOKUP(C300,Mnu!$E$20:$F$37,2,FALSE)," ")</f>
        <v>1050</v>
      </c>
      <c r="K300" s="155">
        <v>1</v>
      </c>
      <c r="L300" s="156"/>
    </row>
    <row r="301" spans="1:12" ht="14.25" customHeight="1">
      <c r="A301" s="99">
        <v>300</v>
      </c>
      <c r="B301" s="100" t="str">
        <f t="shared" si="9"/>
        <v>LED_Tube-T8-1.2M-1X-14W</v>
      </c>
      <c r="C301" s="151" t="s">
        <v>187</v>
      </c>
      <c r="D301" s="152" t="s">
        <v>82</v>
      </c>
      <c r="E301" s="153" t="s">
        <v>90</v>
      </c>
      <c r="F301" s="153" t="s">
        <v>89</v>
      </c>
      <c r="G301" s="154" t="s">
        <v>102</v>
      </c>
      <c r="H301" s="154" t="s">
        <v>98</v>
      </c>
      <c r="I301" s="154">
        <v>14</v>
      </c>
      <c r="J301" s="64">
        <f>IFERROR(K301*I301*VLOOKUP(C301,Mnu!$E$20:$F$37,2,FALSE)," ")</f>
        <v>1050</v>
      </c>
      <c r="K301" s="155">
        <v>1</v>
      </c>
      <c r="L301" s="156"/>
    </row>
    <row r="302" spans="1:12" ht="14.25" customHeight="1">
      <c r="A302" s="99">
        <v>301</v>
      </c>
      <c r="B302" s="100" t="str">
        <f t="shared" si="9"/>
        <v>LED_Tube-T8-1.2M-1X-24W</v>
      </c>
      <c r="C302" s="151" t="s">
        <v>187</v>
      </c>
      <c r="D302" s="152" t="s">
        <v>82</v>
      </c>
      <c r="E302" s="153" t="s">
        <v>90</v>
      </c>
      <c r="F302" s="153" t="s">
        <v>89</v>
      </c>
      <c r="G302" s="154" t="s">
        <v>102</v>
      </c>
      <c r="H302" s="154" t="s">
        <v>98</v>
      </c>
      <c r="I302" s="154">
        <v>24</v>
      </c>
      <c r="J302" s="64">
        <f>IFERROR(K302*I302*VLOOKUP(C302,Mnu!$E$20:$F$37,2,FALSE)," ")</f>
        <v>1800</v>
      </c>
      <c r="K302" s="155">
        <v>1</v>
      </c>
      <c r="L302" s="156"/>
    </row>
    <row r="303" spans="1:12" ht="14.25" customHeight="1">
      <c r="A303" s="99">
        <v>302</v>
      </c>
      <c r="B303" s="100" t="str">
        <f t="shared" si="9"/>
        <v>LED_Tube-T8-1.2M-1X-30W</v>
      </c>
      <c r="C303" s="151" t="s">
        <v>187</v>
      </c>
      <c r="D303" s="152" t="s">
        <v>82</v>
      </c>
      <c r="E303" s="153" t="s">
        <v>90</v>
      </c>
      <c r="F303" s="153" t="s">
        <v>89</v>
      </c>
      <c r="G303" s="154" t="s">
        <v>102</v>
      </c>
      <c r="H303" s="154" t="s">
        <v>98</v>
      </c>
      <c r="I303" s="154">
        <v>30</v>
      </c>
      <c r="J303" s="64">
        <f>IFERROR(K303*I303*VLOOKUP(C303,Mnu!$E$20:$F$37,2,FALSE)," ")</f>
        <v>2250</v>
      </c>
      <c r="K303" s="155">
        <v>1</v>
      </c>
      <c r="L303" s="156"/>
    </row>
    <row r="304" spans="1:12" ht="14.25" customHeight="1">
      <c r="A304" s="99">
        <v>303</v>
      </c>
      <c r="B304" s="100" t="str">
        <f t="shared" si="9"/>
        <v>Conv-FTL-T8-1.2M-1X-24W</v>
      </c>
      <c r="C304" s="151" t="s">
        <v>80</v>
      </c>
      <c r="D304" s="152" t="s">
        <v>81</v>
      </c>
      <c r="E304" s="153" t="s">
        <v>90</v>
      </c>
      <c r="F304" s="153" t="s">
        <v>89</v>
      </c>
      <c r="G304" s="154" t="s">
        <v>102</v>
      </c>
      <c r="H304" s="154" t="s">
        <v>98</v>
      </c>
      <c r="I304" s="154">
        <v>24</v>
      </c>
      <c r="J304" s="64">
        <f>IFERROR(K304*I304*VLOOKUP(C304,Mnu!$E$20:$F$37,2,FALSE)," ")</f>
        <v>1200</v>
      </c>
      <c r="K304" s="155">
        <v>1</v>
      </c>
      <c r="L304" s="156"/>
    </row>
    <row r="305" spans="1:12" ht="14.25" customHeight="1">
      <c r="A305" s="99">
        <v>304</v>
      </c>
      <c r="B305" s="100" t="str">
        <f t="shared" si="9"/>
        <v>LED_Downlight-8in-1X-15W</v>
      </c>
      <c r="C305" s="151" t="s">
        <v>190</v>
      </c>
      <c r="D305" s="152" t="s">
        <v>82</v>
      </c>
      <c r="E305" s="153" t="s">
        <v>90</v>
      </c>
      <c r="F305" s="153" t="s">
        <v>964</v>
      </c>
      <c r="G305" s="154"/>
      <c r="H305" s="154" t="s">
        <v>98</v>
      </c>
      <c r="I305" s="154">
        <v>15</v>
      </c>
      <c r="J305" s="64">
        <f>IFERROR(K305*I305*VLOOKUP(C305,Mnu!$E$20:$F$37,2,FALSE)," ")</f>
        <v>1125</v>
      </c>
      <c r="K305" s="155">
        <v>1</v>
      </c>
      <c r="L305" s="156"/>
    </row>
    <row r="306" spans="1:12" ht="14.25" customHeight="1">
      <c r="A306" s="99">
        <v>305</v>
      </c>
      <c r="B306" s="100" t="str">
        <f t="shared" si="9"/>
        <v>LED_Downlight-Surface 6in-1X-18W</v>
      </c>
      <c r="C306" s="151" t="s">
        <v>190</v>
      </c>
      <c r="D306" s="152" t="s">
        <v>82</v>
      </c>
      <c r="E306" s="153" t="s">
        <v>90</v>
      </c>
      <c r="F306" s="153" t="s">
        <v>965</v>
      </c>
      <c r="G306" s="154"/>
      <c r="H306" s="154" t="s">
        <v>98</v>
      </c>
      <c r="I306" s="154">
        <v>18</v>
      </c>
      <c r="J306" s="64">
        <f>IFERROR(K306*I306*VLOOKUP(C306,Mnu!$E$20:$F$37,2,FALSE)," ")</f>
        <v>1350</v>
      </c>
      <c r="K306" s="155">
        <v>1</v>
      </c>
      <c r="L306" s="156"/>
    </row>
    <row r="307" spans="1:12" ht="14.25" customHeight="1">
      <c r="A307" s="99">
        <v>306</v>
      </c>
      <c r="B307" s="100" t="str">
        <f t="shared" si="9"/>
        <v>LED_Downlight-Surface 6in-1X-20W</v>
      </c>
      <c r="C307" s="151" t="s">
        <v>190</v>
      </c>
      <c r="D307" s="152" t="s">
        <v>82</v>
      </c>
      <c r="E307" s="153" t="s">
        <v>90</v>
      </c>
      <c r="F307" s="153" t="s">
        <v>965</v>
      </c>
      <c r="G307" s="154"/>
      <c r="H307" s="154" t="s">
        <v>98</v>
      </c>
      <c r="I307" s="154">
        <v>20</v>
      </c>
      <c r="J307" s="64">
        <f>IFERROR(K307*I307*VLOOKUP(C307,Mnu!$E$20:$F$37,2,FALSE)," ")</f>
        <v>1500</v>
      </c>
      <c r="K307" s="155">
        <v>1</v>
      </c>
      <c r="L307" s="156"/>
    </row>
    <row r="308" spans="1:12" ht="14.25" customHeight="1">
      <c r="A308" s="99">
        <v>307</v>
      </c>
      <c r="B308" s="100" t="str">
        <f t="shared" si="9"/>
        <v>LED_Downlight-Surface 8in-1X-30W</v>
      </c>
      <c r="C308" s="151" t="s">
        <v>190</v>
      </c>
      <c r="D308" s="152" t="s">
        <v>82</v>
      </c>
      <c r="E308" s="153" t="s">
        <v>90</v>
      </c>
      <c r="F308" s="153" t="s">
        <v>966</v>
      </c>
      <c r="G308" s="154"/>
      <c r="H308" s="154" t="s">
        <v>98</v>
      </c>
      <c r="I308" s="154">
        <v>30</v>
      </c>
      <c r="J308" s="64">
        <f>IFERROR(K308*I308*VLOOKUP(C308,Mnu!$E$20:$F$37,2,FALSE)," ")</f>
        <v>2250</v>
      </c>
      <c r="K308" s="155">
        <v>1</v>
      </c>
      <c r="L308" s="156"/>
    </row>
    <row r="309" spans="1:12" ht="14.25" customHeight="1">
      <c r="A309" s="99">
        <v>308</v>
      </c>
      <c r="B309" s="100" t="str">
        <f t="shared" si="9"/>
        <v>LED_Bulb-E27-1X-18W</v>
      </c>
      <c r="C309" s="151" t="s">
        <v>189</v>
      </c>
      <c r="D309" s="152" t="s">
        <v>82</v>
      </c>
      <c r="E309" s="153" t="s">
        <v>90</v>
      </c>
      <c r="F309" s="153" t="s">
        <v>104</v>
      </c>
      <c r="G309" s="154"/>
      <c r="H309" s="154" t="s">
        <v>98</v>
      </c>
      <c r="I309" s="154">
        <v>18</v>
      </c>
      <c r="J309" s="64">
        <f>IFERROR(K309*I309*VLOOKUP(C309,Mnu!$E$20:$F$37,2,FALSE)," ")</f>
        <v>1350</v>
      </c>
      <c r="K309" s="155">
        <v>1</v>
      </c>
      <c r="L309" s="156"/>
    </row>
    <row r="310" spans="1:12" ht="14.25" customHeight="1">
      <c r="A310" s="99">
        <v>309</v>
      </c>
      <c r="B310" s="100" t="str">
        <f t="shared" si="9"/>
        <v>LED_Bulb-E27-1X-30W</v>
      </c>
      <c r="C310" s="151" t="s">
        <v>189</v>
      </c>
      <c r="D310" s="152" t="s">
        <v>82</v>
      </c>
      <c r="E310" s="153" t="s">
        <v>90</v>
      </c>
      <c r="F310" s="153" t="s">
        <v>104</v>
      </c>
      <c r="G310" s="154"/>
      <c r="H310" s="154" t="s">
        <v>98</v>
      </c>
      <c r="I310" s="154">
        <v>30</v>
      </c>
      <c r="J310" s="64">
        <f>IFERROR(K310*I310*VLOOKUP(C310,Mnu!$E$20:$F$37,2,FALSE)," ")</f>
        <v>2250</v>
      </c>
      <c r="K310" s="155">
        <v>1</v>
      </c>
      <c r="L310" s="156"/>
    </row>
    <row r="311" spans="1:12" ht="14.25" customHeight="1">
      <c r="A311" s="99">
        <v>310</v>
      </c>
      <c r="B311" s="100" t="str">
        <f t="shared" si="9"/>
        <v>Conv-Halogen-DL Celinder-1X-100W</v>
      </c>
      <c r="C311" s="151" t="s">
        <v>142</v>
      </c>
      <c r="D311" s="152" t="s">
        <v>81</v>
      </c>
      <c r="E311" s="153" t="s">
        <v>90</v>
      </c>
      <c r="F311" s="153" t="s">
        <v>968</v>
      </c>
      <c r="G311" s="154"/>
      <c r="H311" s="154" t="s">
        <v>98</v>
      </c>
      <c r="I311" s="154">
        <v>100</v>
      </c>
      <c r="J311" s="64">
        <f>IFERROR(K311*I311*VLOOKUP(C311,Mnu!$E$20:$F$37,2,FALSE)," ")</f>
        <v>1000</v>
      </c>
      <c r="K311" s="155">
        <v>1</v>
      </c>
      <c r="L311" s="156"/>
    </row>
    <row r="312" spans="1:12" ht="14.25" customHeight="1">
      <c r="A312" s="99">
        <v>311</v>
      </c>
      <c r="B312" s="100" t="str">
        <f t="shared" si="9"/>
        <v>LED_Bulb-E27-1X-20W</v>
      </c>
      <c r="C312" s="151" t="s">
        <v>189</v>
      </c>
      <c r="D312" s="152" t="s">
        <v>82</v>
      </c>
      <c r="E312" s="153" t="s">
        <v>90</v>
      </c>
      <c r="F312" s="153" t="s">
        <v>104</v>
      </c>
      <c r="G312" s="154"/>
      <c r="H312" s="154" t="s">
        <v>98</v>
      </c>
      <c r="I312" s="154">
        <v>20</v>
      </c>
      <c r="J312" s="64">
        <f>IFERROR(K312*I312*VLOOKUP(C312,Mnu!$E$20:$F$37,2,FALSE)," ")</f>
        <v>1500</v>
      </c>
      <c r="K312" s="155">
        <v>1</v>
      </c>
      <c r="L312" s="156"/>
    </row>
    <row r="313" spans="1:12" ht="14.25" customHeight="1">
      <c r="A313" s="99">
        <v>312</v>
      </c>
      <c r="B313" s="100" t="str">
        <f t="shared" si="9"/>
        <v>Conv-CFL-E27-Street-1X-40W</v>
      </c>
      <c r="C313" s="151" t="s">
        <v>93</v>
      </c>
      <c r="D313" s="152" t="s">
        <v>81</v>
      </c>
      <c r="E313" s="153" t="s">
        <v>110</v>
      </c>
      <c r="F313" s="153" t="s">
        <v>104</v>
      </c>
      <c r="G313" s="154" t="s">
        <v>969</v>
      </c>
      <c r="H313" s="154" t="s">
        <v>98</v>
      </c>
      <c r="I313" s="154">
        <v>40</v>
      </c>
      <c r="J313" s="64">
        <f>IFERROR(K313*I313*VLOOKUP(C313,Mnu!$E$20:$F$37,2,FALSE)," ")</f>
        <v>2000</v>
      </c>
      <c r="K313" s="155">
        <v>1</v>
      </c>
      <c r="L313" s="156"/>
    </row>
    <row r="314" spans="1:12" ht="14.25" customHeight="1">
      <c r="A314" s="99">
        <v>313</v>
      </c>
      <c r="B314" s="100" t="str">
        <f t="shared" si="9"/>
        <v>Conv-CFL-E27-1X-35W</v>
      </c>
      <c r="C314" s="151" t="s">
        <v>93</v>
      </c>
      <c r="D314" s="152" t="s">
        <v>81</v>
      </c>
      <c r="E314" s="153" t="s">
        <v>90</v>
      </c>
      <c r="F314" s="153" t="s">
        <v>104</v>
      </c>
      <c r="G314" s="154"/>
      <c r="H314" s="154" t="s">
        <v>98</v>
      </c>
      <c r="I314" s="154">
        <v>35</v>
      </c>
      <c r="J314" s="64">
        <f>IFERROR(K314*I314*VLOOKUP(C314,Mnu!$E$20:$F$37,2,FALSE)," ")</f>
        <v>1750</v>
      </c>
      <c r="K314" s="155">
        <v>1</v>
      </c>
      <c r="L314" s="156"/>
    </row>
    <row r="315" spans="1:12" ht="14.25" customHeight="1">
      <c r="A315" s="99">
        <v>314</v>
      </c>
      <c r="B315" s="100" t="str">
        <f t="shared" si="9"/>
        <v>Conv-Candle-E14-1x-10W</v>
      </c>
      <c r="C315" s="151" t="s">
        <v>107</v>
      </c>
      <c r="D315" s="152" t="s">
        <v>81</v>
      </c>
      <c r="E315" s="153" t="s">
        <v>90</v>
      </c>
      <c r="F315" s="153" t="s">
        <v>108</v>
      </c>
      <c r="G315" s="154"/>
      <c r="H315" s="154" t="s">
        <v>972</v>
      </c>
      <c r="I315" s="154">
        <v>10</v>
      </c>
      <c r="J315" s="64">
        <f>IFERROR(K315*I315*VLOOKUP(C315,Mnu!$E$20:$F$37,2,FALSE)," ")</f>
        <v>100</v>
      </c>
      <c r="K315" s="155">
        <v>1</v>
      </c>
      <c r="L315" s="156"/>
    </row>
    <row r="316" spans="1:12" ht="14.25" customHeight="1">
      <c r="A316" s="99">
        <v>315</v>
      </c>
      <c r="B316" s="100" t="str">
        <f t="shared" si="9"/>
        <v>Conv-CFL-E27-1X-35W</v>
      </c>
      <c r="C316" s="151" t="s">
        <v>93</v>
      </c>
      <c r="D316" s="152" t="s">
        <v>81</v>
      </c>
      <c r="E316" s="153" t="s">
        <v>90</v>
      </c>
      <c r="F316" s="153" t="s">
        <v>104</v>
      </c>
      <c r="G316" s="154"/>
      <c r="H316" s="154" t="s">
        <v>98</v>
      </c>
      <c r="I316" s="154">
        <v>35</v>
      </c>
      <c r="J316" s="64">
        <f>IFERROR(K316*I316*VLOOKUP(C316,Mnu!$E$20:$F$37,2,FALSE)," ")</f>
        <v>1750</v>
      </c>
      <c r="K316" s="155">
        <v>1</v>
      </c>
      <c r="L316" s="156"/>
    </row>
    <row r="317" spans="1:12" ht="14.25" customHeight="1">
      <c r="A317" s="99">
        <v>316</v>
      </c>
      <c r="B317" s="100" t="str">
        <f t="shared" si="9"/>
        <v>Conv-Candle-E14-1X-6W</v>
      </c>
      <c r="C317" s="151" t="s">
        <v>107</v>
      </c>
      <c r="D317" s="152" t="s">
        <v>81</v>
      </c>
      <c r="E317" s="153" t="s">
        <v>90</v>
      </c>
      <c r="F317" s="153" t="s">
        <v>108</v>
      </c>
      <c r="G317" s="154"/>
      <c r="H317" s="154" t="s">
        <v>98</v>
      </c>
      <c r="I317" s="154">
        <v>6</v>
      </c>
      <c r="J317" s="64">
        <f>IFERROR(K317*I317*VLOOKUP(C317,Mnu!$E$20:$F$37,2,FALSE)," ")</f>
        <v>60</v>
      </c>
      <c r="K317" s="155">
        <v>1</v>
      </c>
      <c r="L317" s="156"/>
    </row>
    <row r="318" spans="1:12" ht="14.25" customHeight="1">
      <c r="A318" s="99">
        <v>317</v>
      </c>
      <c r="B318" s="100" t="str">
        <f t="shared" si="9"/>
        <v>LED_Bulb-E27-1X-24W</v>
      </c>
      <c r="C318" s="151" t="s">
        <v>189</v>
      </c>
      <c r="D318" s="152" t="s">
        <v>82</v>
      </c>
      <c r="E318" s="153" t="s">
        <v>90</v>
      </c>
      <c r="F318" s="153" t="s">
        <v>104</v>
      </c>
      <c r="G318" s="154"/>
      <c r="H318" s="154" t="s">
        <v>98</v>
      </c>
      <c r="I318" s="154">
        <v>24</v>
      </c>
      <c r="J318" s="64">
        <f>IFERROR(K318*I318*VLOOKUP(C318,Mnu!$E$20:$F$37,2,FALSE)," ")</f>
        <v>1800</v>
      </c>
      <c r="K318" s="155">
        <v>1</v>
      </c>
      <c r="L318" s="156"/>
    </row>
    <row r="319" spans="1:12" ht="14.25" customHeight="1">
      <c r="A319" s="99">
        <v>318</v>
      </c>
      <c r="B319" s="100" t="str">
        <f t="shared" si="9"/>
        <v>LED_Bulb-E27-1X-50W</v>
      </c>
      <c r="C319" s="151" t="s">
        <v>189</v>
      </c>
      <c r="D319" s="152" t="s">
        <v>82</v>
      </c>
      <c r="E319" s="153" t="s">
        <v>90</v>
      </c>
      <c r="F319" s="153" t="s">
        <v>104</v>
      </c>
      <c r="G319" s="154"/>
      <c r="H319" s="154" t="s">
        <v>98</v>
      </c>
      <c r="I319" s="154">
        <v>50</v>
      </c>
      <c r="J319" s="64">
        <f>IFERROR(K319*I319*VLOOKUP(C319,Mnu!$E$20:$F$37,2,FALSE)," ")</f>
        <v>3750</v>
      </c>
      <c r="K319" s="155">
        <v>1</v>
      </c>
      <c r="L319" s="156"/>
    </row>
    <row r="320" spans="1:12" ht="14.25" customHeight="1">
      <c r="A320" s="99">
        <v>319</v>
      </c>
      <c r="B320" s="100" t="str">
        <f t="shared" si="9"/>
        <v>Conv-Halogen-High Bay-1X-100W</v>
      </c>
      <c r="C320" s="151" t="s">
        <v>142</v>
      </c>
      <c r="D320" s="152" t="s">
        <v>81</v>
      </c>
      <c r="E320" s="153" t="s">
        <v>90</v>
      </c>
      <c r="F320" s="153" t="s">
        <v>118</v>
      </c>
      <c r="G320" s="154"/>
      <c r="H320" s="154" t="s">
        <v>98</v>
      </c>
      <c r="I320" s="154">
        <v>100</v>
      </c>
      <c r="J320" s="64">
        <f>IFERROR(K320*I320*VLOOKUP(C320,Mnu!$E$20:$F$37,2,FALSE)," ")</f>
        <v>1000</v>
      </c>
      <c r="K320" s="155">
        <v>1</v>
      </c>
      <c r="L320" s="156"/>
    </row>
    <row r="321" spans="1:12" ht="14.25" customHeight="1">
      <c r="A321" s="99">
        <v>320</v>
      </c>
      <c r="B321" s="100" t="str">
        <f>IF(C321="","",IF(D321="Conv",IFERROR(D321&amp;"-"&amp;C321&amp;"-"&amp;F321&amp;"-"&amp;G321&amp;""&amp;H321&amp;"-"&amp;I321&amp;"W",""),IFERROR(C321&amp;"-"&amp;F321&amp;"-"&amp;G321&amp;""&amp;H321&amp;"-"&amp;I321&amp;"W","")))</f>
        <v>LED_High_Bay--1X-150W</v>
      </c>
      <c r="C321" s="151" t="s">
        <v>191</v>
      </c>
      <c r="D321" s="152" t="s">
        <v>82</v>
      </c>
      <c r="E321" s="153" t="s">
        <v>90</v>
      </c>
      <c r="F321" s="153"/>
      <c r="G321" s="154"/>
      <c r="H321" s="154" t="s">
        <v>98</v>
      </c>
      <c r="I321" s="154">
        <v>150</v>
      </c>
      <c r="J321" s="64">
        <f>IFERROR(K321*I321*VLOOKUP(C321,Mnu!$E$20:$F$37,2,FALSE)," ")</f>
        <v>12000</v>
      </c>
      <c r="K321" s="155">
        <v>1</v>
      </c>
      <c r="L321" s="156"/>
    </row>
    <row r="322" spans="1:12" ht="14.25" customHeight="1">
      <c r="A322" s="99">
        <v>321</v>
      </c>
      <c r="B322" s="100" t="str">
        <f t="shared" si="9"/>
        <v>Conv-Halogen-FloodLight-1X-200W</v>
      </c>
      <c r="C322" s="151" t="s">
        <v>142</v>
      </c>
      <c r="D322" s="152" t="s">
        <v>81</v>
      </c>
      <c r="E322" s="153" t="s">
        <v>110</v>
      </c>
      <c r="F322" s="153" t="s">
        <v>975</v>
      </c>
      <c r="G322" s="154"/>
      <c r="H322" s="154" t="s">
        <v>98</v>
      </c>
      <c r="I322" s="154">
        <v>200</v>
      </c>
      <c r="J322" s="64">
        <f>IFERROR(K322*I322*VLOOKUP(C322,Mnu!$E$20:$F$37,2,FALSE)," ")</f>
        <v>2000</v>
      </c>
      <c r="K322" s="155">
        <v>1</v>
      </c>
      <c r="L322" s="156"/>
    </row>
    <row r="323" spans="1:12" ht="14.25" customHeight="1">
      <c r="A323" s="99">
        <v>322</v>
      </c>
      <c r="B323" s="100" t="str">
        <f>IF(C323="","",IF(D323="Conv",IFERROR(D323&amp;"-"&amp;C323&amp;"-"&amp;F323&amp;"-"&amp;G323&amp;""&amp;H323&amp;"-"&amp;I323&amp;"W",""),IFERROR(C323&amp;"-"&amp;F323&amp;"-"&amp;G323&amp;""&amp;H323&amp;"-"&amp;I323&amp;"W","")))</f>
        <v>Conv-MH-FloodLight-1X-65W</v>
      </c>
      <c r="C323" s="151" t="s">
        <v>109</v>
      </c>
      <c r="D323" s="152" t="s">
        <v>81</v>
      </c>
      <c r="E323" s="153" t="s">
        <v>110</v>
      </c>
      <c r="F323" s="153" t="s">
        <v>975</v>
      </c>
      <c r="G323" s="154"/>
      <c r="H323" s="154" t="s">
        <v>98</v>
      </c>
      <c r="I323" s="154">
        <v>65</v>
      </c>
      <c r="J323" s="64">
        <f>IFERROR(K323*I323*VLOOKUP(C323,Mnu!$E$20:$F$37,2,FALSE)," ")</f>
        <v>3250</v>
      </c>
      <c r="K323" s="155">
        <v>1</v>
      </c>
      <c r="L323" s="156"/>
    </row>
    <row r="324" spans="1:12" ht="14.25" customHeight="1">
      <c r="A324" s="99">
        <v>323</v>
      </c>
      <c r="B324" s="100" t="str">
        <f t="shared" ref="B324:B386" si="18">IF(C324="","",IF(D324="Conv",IFERROR(D324&amp;"-"&amp;C324&amp;"-"&amp;F324&amp;"-"&amp;G324&amp;""&amp;H324&amp;"-"&amp;I324&amp;"W",""),IFERROR(C324&amp;"-"&amp;F324&amp;"-"&amp;G324&amp;""&amp;H324&amp;"-"&amp;I324&amp;"W","")))</f>
        <v>LED_High_Bay--1X-400W</v>
      </c>
      <c r="C324" s="151" t="s">
        <v>191</v>
      </c>
      <c r="D324" s="152" t="s">
        <v>82</v>
      </c>
      <c r="E324" s="153" t="s">
        <v>90</v>
      </c>
      <c r="F324" s="153"/>
      <c r="G324" s="154"/>
      <c r="H324" s="154" t="s">
        <v>98</v>
      </c>
      <c r="I324" s="154">
        <v>400</v>
      </c>
      <c r="J324" s="64">
        <f>IFERROR(K324*I324*VLOOKUP(C324,Mnu!$E$20:$F$37,2,FALSE)," ")</f>
        <v>32000</v>
      </c>
      <c r="K324" s="155">
        <v>1</v>
      </c>
      <c r="L324" s="156"/>
    </row>
    <row r="325" spans="1:12" ht="14.25" customHeight="1">
      <c r="A325" s="99">
        <v>324</v>
      </c>
      <c r="B325" s="100" t="str">
        <f t="shared" si="18"/>
        <v>Conv-MH-HQL-E40-1X-400W</v>
      </c>
      <c r="C325" s="151" t="s">
        <v>109</v>
      </c>
      <c r="D325" s="152" t="s">
        <v>81</v>
      </c>
      <c r="E325" s="153" t="s">
        <v>110</v>
      </c>
      <c r="F325" s="153" t="s">
        <v>932</v>
      </c>
      <c r="G325" s="154" t="s">
        <v>976</v>
      </c>
      <c r="H325" s="154" t="s">
        <v>98</v>
      </c>
      <c r="I325" s="154">
        <v>400</v>
      </c>
      <c r="J325" s="64">
        <f>IFERROR(K325*I325*VLOOKUP(C325,Mnu!$E$20:$F$37,2,FALSE)," ")</f>
        <v>20000</v>
      </c>
      <c r="K325" s="155">
        <v>1</v>
      </c>
      <c r="L325" s="156"/>
    </row>
    <row r="326" spans="1:12" ht="14.25" customHeight="1">
      <c r="A326" s="99">
        <v>325</v>
      </c>
      <c r="B326" s="100" t="str">
        <f>IF(C326="","",IF(D326="Conv",IFERROR(D326&amp;"-"&amp;C326&amp;"-"&amp;F326&amp;"-"&amp;G326&amp;""&amp;H326&amp;"-"&amp;I326&amp;"W",""),IFERROR(C326&amp;"-"&amp;F326&amp;"-"&amp;G326&amp;""&amp;H326&amp;"-"&amp;I326&amp;"W","")))</f>
        <v>LED_Bulb-HQL-E27-1X-250W</v>
      </c>
      <c r="C326" s="151" t="s">
        <v>189</v>
      </c>
      <c r="D326" s="152" t="s">
        <v>82</v>
      </c>
      <c r="E326" s="153" t="s">
        <v>110</v>
      </c>
      <c r="F326" s="153" t="s">
        <v>932</v>
      </c>
      <c r="G326" s="154" t="s">
        <v>977</v>
      </c>
      <c r="H326" s="154" t="s">
        <v>98</v>
      </c>
      <c r="I326" s="154">
        <v>250</v>
      </c>
      <c r="J326" s="64">
        <f>IFERROR(K326*I326*VLOOKUP(C326,Mnu!$E$20:$F$37,2,FALSE)," ")</f>
        <v>18750</v>
      </c>
      <c r="K326" s="155">
        <v>1</v>
      </c>
      <c r="L326" s="156"/>
    </row>
    <row r="327" spans="1:12" ht="14.25" customHeight="1">
      <c r="A327" s="99">
        <v>326</v>
      </c>
      <c r="B327" s="100" t="str">
        <f t="shared" si="18"/>
        <v>LED_Downlight-4"-1X-10W</v>
      </c>
      <c r="C327" s="151" t="s">
        <v>190</v>
      </c>
      <c r="D327" s="152" t="s">
        <v>82</v>
      </c>
      <c r="E327" s="153" t="s">
        <v>90</v>
      </c>
      <c r="F327" s="153" t="s">
        <v>214</v>
      </c>
      <c r="G327" s="154"/>
      <c r="H327" s="154" t="s">
        <v>98</v>
      </c>
      <c r="I327" s="154">
        <v>10</v>
      </c>
      <c r="J327" s="64">
        <f>IFERROR(K327*I327*VLOOKUP(C327,Mnu!$E$20:$F$37,2,FALSE)," ")</f>
        <v>750</v>
      </c>
      <c r="K327" s="155">
        <v>1</v>
      </c>
      <c r="L327" s="156"/>
    </row>
    <row r="328" spans="1:12" ht="14.25" customHeight="1">
      <c r="A328" s="99">
        <v>327</v>
      </c>
      <c r="B328" s="100" t="str">
        <f t="shared" si="18"/>
        <v>Conv-MH-High Bay-1X-400W</v>
      </c>
      <c r="C328" s="151" t="s">
        <v>109</v>
      </c>
      <c r="D328" s="152" t="s">
        <v>81</v>
      </c>
      <c r="E328" s="153" t="s">
        <v>90</v>
      </c>
      <c r="F328" s="153" t="s">
        <v>118</v>
      </c>
      <c r="G328" s="154"/>
      <c r="H328" s="154" t="s">
        <v>98</v>
      </c>
      <c r="I328" s="154">
        <v>400</v>
      </c>
      <c r="J328" s="64">
        <f>IFERROR(K328*I328*VLOOKUP(C328,Mnu!$E$20:$F$37,2,FALSE)," ")</f>
        <v>20000</v>
      </c>
      <c r="K328" s="155">
        <v>1</v>
      </c>
      <c r="L328" s="156"/>
    </row>
    <row r="329" spans="1:12" ht="14.25" customHeight="1">
      <c r="A329" s="99">
        <v>328</v>
      </c>
      <c r="B329" s="100" t="str">
        <f t="shared" si="18"/>
        <v>Conv-MV-E27-Bulb-1X-60W</v>
      </c>
      <c r="C329" s="151" t="s">
        <v>114</v>
      </c>
      <c r="D329" s="152" t="s">
        <v>81</v>
      </c>
      <c r="E329" s="153" t="s">
        <v>110</v>
      </c>
      <c r="F329" s="153" t="s">
        <v>104</v>
      </c>
      <c r="G329" s="154" t="s">
        <v>978</v>
      </c>
      <c r="H329" s="154" t="s">
        <v>98</v>
      </c>
      <c r="I329" s="154">
        <v>60</v>
      </c>
      <c r="J329" s="64">
        <f>IFERROR(K329*I329*VLOOKUP(C329,Mnu!$E$20:$F$37,2,FALSE)," ")</f>
        <v>2100</v>
      </c>
      <c r="K329" s="155">
        <v>1</v>
      </c>
      <c r="L329" s="156"/>
    </row>
    <row r="330" spans="1:12" ht="14.25" customHeight="1">
      <c r="A330" s="99">
        <v>329</v>
      </c>
      <c r="B330" s="100" t="str">
        <f t="shared" si="18"/>
        <v>LED_Bulb-HQL-E27-1X-80W</v>
      </c>
      <c r="C330" s="151" t="s">
        <v>189</v>
      </c>
      <c r="D330" s="152" t="s">
        <v>82</v>
      </c>
      <c r="E330" s="153" t="s">
        <v>110</v>
      </c>
      <c r="F330" s="153" t="s">
        <v>932</v>
      </c>
      <c r="G330" s="154" t="s">
        <v>977</v>
      </c>
      <c r="H330" s="154" t="s">
        <v>98</v>
      </c>
      <c r="I330" s="154">
        <v>80</v>
      </c>
      <c r="J330" s="64">
        <f>IFERROR(K330*I330*VLOOKUP(C330,Mnu!$E$20:$F$37,2,FALSE)," ")</f>
        <v>6000</v>
      </c>
      <c r="K330" s="155">
        <v>1</v>
      </c>
      <c r="L330" s="156"/>
    </row>
    <row r="331" spans="1:12" ht="14.25" customHeight="1">
      <c r="A331" s="99">
        <v>330</v>
      </c>
      <c r="B331" s="100" t="str">
        <f t="shared" si="18"/>
        <v>LED_Bulb-HQL-E27-1X-125W</v>
      </c>
      <c r="C331" s="151" t="s">
        <v>189</v>
      </c>
      <c r="D331" s="152" t="s">
        <v>82</v>
      </c>
      <c r="E331" s="153" t="s">
        <v>110</v>
      </c>
      <c r="F331" s="153" t="s">
        <v>932</v>
      </c>
      <c r="G331" s="154" t="s">
        <v>977</v>
      </c>
      <c r="H331" s="154" t="s">
        <v>98</v>
      </c>
      <c r="I331" s="154">
        <v>125</v>
      </c>
      <c r="J331" s="64">
        <f>IFERROR(K331*I331*VLOOKUP(C331,Mnu!$E$20:$F$37,2,FALSE)," ")</f>
        <v>9375</v>
      </c>
      <c r="K331" s="155">
        <v>1</v>
      </c>
      <c r="L331" s="156"/>
    </row>
    <row r="332" spans="1:12" ht="14.25" customHeight="1">
      <c r="A332" s="99">
        <v>331</v>
      </c>
      <c r="B332" s="100" t="str">
        <f>IF(C332="","",IF(D332="Conv",IFERROR(D332&amp;"-"&amp;C332&amp;"-"&amp;F332&amp;"-"&amp;G332&amp;""&amp;H332&amp;"-"&amp;I332&amp;"W",""),IFERROR(C332&amp;"-"&amp;F332&amp;"-"&amp;G332&amp;""&amp;H332&amp;"-"&amp;I332&amp;"W","")))</f>
        <v>LED_Bulb-HQL-E40-1X-250W</v>
      </c>
      <c r="C332" s="151" t="s">
        <v>189</v>
      </c>
      <c r="D332" s="152" t="s">
        <v>82</v>
      </c>
      <c r="E332" s="153" t="s">
        <v>110</v>
      </c>
      <c r="F332" s="153" t="s">
        <v>932</v>
      </c>
      <c r="G332" s="154" t="s">
        <v>976</v>
      </c>
      <c r="H332" s="154" t="s">
        <v>98</v>
      </c>
      <c r="I332" s="154">
        <v>250</v>
      </c>
      <c r="J332" s="64">
        <f>IFERROR(K332*I332*VLOOKUP(C332,Mnu!$E$20:$F$37,2,FALSE)," ")</f>
        <v>18750</v>
      </c>
      <c r="K332" s="155">
        <v>1</v>
      </c>
      <c r="L332" s="156"/>
    </row>
    <row r="333" spans="1:12" ht="14.25" customHeight="1">
      <c r="A333" s="99">
        <v>332</v>
      </c>
      <c r="B333" s="100" t="str">
        <f t="shared" si="18"/>
        <v>Conv-MH-FloodLight-1X-400W</v>
      </c>
      <c r="C333" s="151" t="s">
        <v>109</v>
      </c>
      <c r="D333" s="152" t="s">
        <v>81</v>
      </c>
      <c r="E333" s="153" t="s">
        <v>110</v>
      </c>
      <c r="F333" s="153" t="s">
        <v>975</v>
      </c>
      <c r="G333" s="154"/>
      <c r="H333" s="154" t="s">
        <v>98</v>
      </c>
      <c r="I333" s="154">
        <v>400</v>
      </c>
      <c r="J333" s="64">
        <f>IFERROR(K333*I333*VLOOKUP(C333,Mnu!$E$20:$F$37,2,FALSE)," ")</f>
        <v>20000</v>
      </c>
      <c r="K333" s="155">
        <v>1</v>
      </c>
      <c r="L333" s="156"/>
    </row>
    <row r="334" spans="1:12" ht="14.25" customHeight="1">
      <c r="A334" s="99">
        <v>333</v>
      </c>
      <c r="B334" s="100" t="str">
        <f t="shared" si="18"/>
        <v>LED_Flood_Light--1X-600W</v>
      </c>
      <c r="C334" s="151" t="s">
        <v>767</v>
      </c>
      <c r="D334" s="152" t="s">
        <v>82</v>
      </c>
      <c r="E334" s="153" t="s">
        <v>110</v>
      </c>
      <c r="F334" s="153"/>
      <c r="G334" s="154"/>
      <c r="H334" s="154" t="s">
        <v>98</v>
      </c>
      <c r="I334" s="154">
        <v>600</v>
      </c>
      <c r="J334" s="64">
        <f>IFERROR(K334*I334*VLOOKUP(C334,Mnu!$E$20:$F$37,2,FALSE)," ")</f>
        <v>48000</v>
      </c>
      <c r="K334" s="155">
        <v>1</v>
      </c>
      <c r="L334" s="156"/>
    </row>
    <row r="335" spans="1:12" ht="14.25" customHeight="1">
      <c r="A335" s="99">
        <v>334</v>
      </c>
      <c r="B335" s="100" t="str">
        <f t="shared" si="18"/>
        <v>Conv-MH-HQL-E40-1X-250W</v>
      </c>
      <c r="C335" s="151" t="s">
        <v>109</v>
      </c>
      <c r="D335" s="152" t="s">
        <v>81</v>
      </c>
      <c r="E335" s="153" t="s">
        <v>110</v>
      </c>
      <c r="F335" s="153" t="s">
        <v>932</v>
      </c>
      <c r="G335" s="154" t="s">
        <v>976</v>
      </c>
      <c r="H335" s="154" t="s">
        <v>98</v>
      </c>
      <c r="I335" s="154">
        <v>250</v>
      </c>
      <c r="J335" s="64">
        <f>IFERROR(K335*I335*VLOOKUP(C335,Mnu!$E$20:$F$37,2,FALSE)," ")</f>
        <v>12500</v>
      </c>
      <c r="K335" s="155">
        <v>1</v>
      </c>
      <c r="L335" s="156"/>
    </row>
    <row r="336" spans="1:12" ht="14.25" customHeight="1">
      <c r="A336" s="99">
        <v>335</v>
      </c>
      <c r="B336" s="100" t="str">
        <f t="shared" si="18"/>
        <v>LED_Downlight-6"-1X-30W</v>
      </c>
      <c r="C336" s="151" t="s">
        <v>190</v>
      </c>
      <c r="D336" s="152" t="s">
        <v>82</v>
      </c>
      <c r="E336" s="153" t="s">
        <v>110</v>
      </c>
      <c r="F336" s="153" t="s">
        <v>230</v>
      </c>
      <c r="G336" s="154"/>
      <c r="H336" s="154" t="s">
        <v>98</v>
      </c>
      <c r="I336" s="154">
        <v>30</v>
      </c>
      <c r="J336" s="64">
        <f>IFERROR(K336*I336*VLOOKUP(C336,Mnu!$E$20:$F$37,2,FALSE)," ")</f>
        <v>2250</v>
      </c>
      <c r="K336" s="155">
        <v>1</v>
      </c>
      <c r="L336" s="156"/>
    </row>
    <row r="337" spans="1:12" ht="14.25" customHeight="1">
      <c r="A337" s="99">
        <v>336</v>
      </c>
      <c r="B337" s="100" t="str">
        <f t="shared" si="18"/>
        <v>LED_Bulb-HW-E27-1X-100W</v>
      </c>
      <c r="C337" s="151" t="s">
        <v>189</v>
      </c>
      <c r="D337" s="152" t="s">
        <v>82</v>
      </c>
      <c r="E337" s="153" t="s">
        <v>90</v>
      </c>
      <c r="F337" s="153" t="s">
        <v>979</v>
      </c>
      <c r="G337" s="154" t="s">
        <v>977</v>
      </c>
      <c r="H337" s="154" t="s">
        <v>98</v>
      </c>
      <c r="I337" s="154">
        <v>100</v>
      </c>
      <c r="J337" s="64">
        <f>IFERROR(K337*I337*VLOOKUP(C337,Mnu!$E$20:$F$37,2,FALSE)," ")</f>
        <v>7500</v>
      </c>
      <c r="K337" s="155">
        <v>1</v>
      </c>
      <c r="L337" s="156"/>
    </row>
    <row r="338" spans="1:12" ht="14.25" customHeight="1">
      <c r="A338" s="99">
        <v>337</v>
      </c>
      <c r="B338" s="100" t="str">
        <f t="shared" si="18"/>
        <v>LED_Candle_Light-E14-1X-3W</v>
      </c>
      <c r="C338" s="151" t="s">
        <v>194</v>
      </c>
      <c r="D338" s="152" t="s">
        <v>82</v>
      </c>
      <c r="E338" s="153" t="s">
        <v>90</v>
      </c>
      <c r="F338" s="153" t="s">
        <v>108</v>
      </c>
      <c r="G338" s="154"/>
      <c r="H338" s="154" t="s">
        <v>98</v>
      </c>
      <c r="I338" s="154">
        <v>3</v>
      </c>
      <c r="J338" s="64">
        <f>IFERROR(K338*I338*VLOOKUP(C338,Mnu!$E$20:$F$37,2,FALSE)," ")</f>
        <v>210</v>
      </c>
      <c r="K338" s="155">
        <v>1</v>
      </c>
      <c r="L338" s="156"/>
    </row>
    <row r="339" spans="1:12" ht="14.25" customHeight="1">
      <c r="A339" s="99">
        <v>338</v>
      </c>
      <c r="B339" s="100" t="str">
        <f t="shared" si="18"/>
        <v>Conv-FTL-T8-1.2M-1X-14W</v>
      </c>
      <c r="C339" s="151" t="s">
        <v>80</v>
      </c>
      <c r="D339" s="152" t="s">
        <v>81</v>
      </c>
      <c r="E339" s="153" t="s">
        <v>90</v>
      </c>
      <c r="F339" s="153" t="s">
        <v>89</v>
      </c>
      <c r="G339" s="154" t="s">
        <v>102</v>
      </c>
      <c r="H339" s="154" t="s">
        <v>98</v>
      </c>
      <c r="I339" s="154">
        <v>14</v>
      </c>
      <c r="J339" s="64">
        <f>IFERROR(K339*I339*VLOOKUP(C339,Mnu!$E$20:$F$37,2,FALSE)," ")</f>
        <v>700</v>
      </c>
      <c r="K339" s="155">
        <v>1</v>
      </c>
      <c r="L339" s="156"/>
    </row>
    <row r="340" spans="1:12" ht="14.25" customHeight="1">
      <c r="A340" s="99">
        <v>339</v>
      </c>
      <c r="B340" s="100" t="str">
        <f t="shared" si="18"/>
        <v>Conv-FTL-T8-1.2M-1X-16W</v>
      </c>
      <c r="C340" s="151" t="s">
        <v>80</v>
      </c>
      <c r="D340" s="152" t="s">
        <v>81</v>
      </c>
      <c r="E340" s="153" t="s">
        <v>90</v>
      </c>
      <c r="F340" s="153" t="s">
        <v>89</v>
      </c>
      <c r="G340" s="154" t="s">
        <v>102</v>
      </c>
      <c r="H340" s="154" t="s">
        <v>98</v>
      </c>
      <c r="I340" s="154">
        <v>16</v>
      </c>
      <c r="J340" s="64">
        <f>IFERROR(K340*I340*VLOOKUP(C340,Mnu!$E$20:$F$37,2,FALSE)," ")</f>
        <v>800</v>
      </c>
      <c r="K340" s="155">
        <v>1</v>
      </c>
      <c r="L340" s="156"/>
    </row>
    <row r="341" spans="1:12" ht="14.25" customHeight="1">
      <c r="A341" s="99">
        <v>340</v>
      </c>
      <c r="B341" s="100" t="str">
        <f t="shared" si="18"/>
        <v>Conv-HPS-Street Light-1X-200W</v>
      </c>
      <c r="C341" s="151" t="s">
        <v>116</v>
      </c>
      <c r="D341" s="152" t="s">
        <v>81</v>
      </c>
      <c r="E341" s="153" t="s">
        <v>110</v>
      </c>
      <c r="F341" s="153" t="s">
        <v>117</v>
      </c>
      <c r="G341" s="154"/>
      <c r="H341" s="154" t="s">
        <v>98</v>
      </c>
      <c r="I341" s="154">
        <v>200</v>
      </c>
      <c r="J341" s="64">
        <f>IFERROR(K341*I341*VLOOKUP(C341,Mnu!$E$20:$F$37,2,FALSE)," ")</f>
        <v>10000</v>
      </c>
      <c r="K341" s="155">
        <v>1</v>
      </c>
      <c r="L341" s="156"/>
    </row>
    <row r="342" spans="1:12" ht="14.25" customHeight="1">
      <c r="A342" s="99">
        <v>341</v>
      </c>
      <c r="B342" s="100" t="str">
        <f t="shared" si="18"/>
        <v>Conv-MH-High Bay-1X-100W</v>
      </c>
      <c r="C342" s="151" t="s">
        <v>109</v>
      </c>
      <c r="D342" s="152" t="s">
        <v>81</v>
      </c>
      <c r="E342" s="153" t="s">
        <v>90</v>
      </c>
      <c r="F342" s="153" t="s">
        <v>118</v>
      </c>
      <c r="G342" s="154"/>
      <c r="H342" s="154" t="s">
        <v>98</v>
      </c>
      <c r="I342" s="154">
        <v>100</v>
      </c>
      <c r="J342" s="64">
        <f>IFERROR(K342*I342*VLOOKUP(C342,Mnu!$E$20:$F$37,2,FALSE)," ")</f>
        <v>5000</v>
      </c>
      <c r="K342" s="155">
        <v>1</v>
      </c>
      <c r="L342" s="156"/>
    </row>
    <row r="343" spans="1:12" ht="14.25" customHeight="1">
      <c r="A343" s="99">
        <v>342</v>
      </c>
      <c r="B343" s="100" t="str">
        <f t="shared" si="18"/>
        <v>LED_Bulb-E27-1X-10W</v>
      </c>
      <c r="C343" s="151" t="s">
        <v>189</v>
      </c>
      <c r="D343" s="152" t="s">
        <v>82</v>
      </c>
      <c r="E343" s="153" t="s">
        <v>90</v>
      </c>
      <c r="F343" s="153" t="s">
        <v>104</v>
      </c>
      <c r="G343" s="154"/>
      <c r="H343" s="154" t="s">
        <v>98</v>
      </c>
      <c r="I343" s="154">
        <v>10</v>
      </c>
      <c r="J343" s="64">
        <f>IFERROR(K343*I343*VLOOKUP(C343,Mnu!$E$20:$F$37,2,FALSE)," ")</f>
        <v>750</v>
      </c>
      <c r="K343" s="155">
        <v>1</v>
      </c>
      <c r="L343" s="156"/>
    </row>
    <row r="344" spans="1:12" ht="14.25" customHeight="1">
      <c r="A344" s="99">
        <v>343</v>
      </c>
      <c r="B344" s="100" t="str">
        <f t="shared" si="18"/>
        <v>LED_Panel_light-60x60-1X-68W</v>
      </c>
      <c r="C344" s="151" t="s">
        <v>766</v>
      </c>
      <c r="D344" s="152" t="s">
        <v>82</v>
      </c>
      <c r="E344" s="153" t="s">
        <v>90</v>
      </c>
      <c r="F344" s="153" t="s">
        <v>1043</v>
      </c>
      <c r="G344" s="154"/>
      <c r="H344" s="154" t="s">
        <v>98</v>
      </c>
      <c r="I344" s="154">
        <v>68</v>
      </c>
      <c r="J344" s="64">
        <f>IFERROR(K344*I344*VLOOKUP(C344,Mnu!$E$20:$F$37,2,FALSE)," ")</f>
        <v>5100</v>
      </c>
      <c r="K344" s="155">
        <v>1</v>
      </c>
      <c r="L344" s="156"/>
    </row>
    <row r="345" spans="1:12" ht="14.25" customHeight="1">
      <c r="A345" s="99">
        <v>344</v>
      </c>
      <c r="B345" s="100" t="str">
        <f t="shared" si="18"/>
        <v>LED_Candle_Light-E14-1X-5W</v>
      </c>
      <c r="C345" s="151" t="s">
        <v>194</v>
      </c>
      <c r="D345" s="152" t="s">
        <v>82</v>
      </c>
      <c r="E345" s="153" t="s">
        <v>90</v>
      </c>
      <c r="F345" s="153" t="s">
        <v>108</v>
      </c>
      <c r="G345" s="154"/>
      <c r="H345" s="154" t="s">
        <v>98</v>
      </c>
      <c r="I345" s="154">
        <v>5</v>
      </c>
      <c r="J345" s="64">
        <f>IFERROR(K345*I345*VLOOKUP(C345,Mnu!$E$20:$F$37,2,FALSE)," ")</f>
        <v>350</v>
      </c>
      <c r="K345" s="155">
        <v>1</v>
      </c>
      <c r="L345" s="156"/>
    </row>
    <row r="346" spans="1:12" ht="14.25" customHeight="1">
      <c r="A346" s="99">
        <v>345</v>
      </c>
      <c r="B346" s="100" t="str">
        <f t="shared" si="18"/>
        <v/>
      </c>
      <c r="C346" s="151"/>
      <c r="D346" s="152"/>
      <c r="E346" s="153"/>
      <c r="F346" s="153"/>
      <c r="G346" s="154"/>
      <c r="H346" s="154"/>
      <c r="I346" s="154"/>
      <c r="J346" s="64" t="str">
        <f>IFERROR(K346*I346*VLOOKUP(C346,Mnu!$E$20:$F$37,2,FALSE)," ")</f>
        <v xml:space="preserve"> </v>
      </c>
      <c r="K346" s="155"/>
      <c r="L346" s="156"/>
    </row>
    <row r="347" spans="1:12" ht="14.25" customHeight="1">
      <c r="A347" s="99">
        <v>346</v>
      </c>
      <c r="B347" s="100" t="str">
        <f t="shared" si="18"/>
        <v/>
      </c>
      <c r="C347" s="151"/>
      <c r="D347" s="152"/>
      <c r="E347" s="153"/>
      <c r="F347" s="153"/>
      <c r="G347" s="154"/>
      <c r="H347" s="154"/>
      <c r="I347" s="154"/>
      <c r="J347" s="64" t="str">
        <f>IFERROR(K347*I347*VLOOKUP(C347,Mnu!$E$20:$F$37,2,FALSE)," ")</f>
        <v xml:space="preserve"> </v>
      </c>
      <c r="K347" s="155"/>
      <c r="L347" s="156"/>
    </row>
    <row r="348" spans="1:12" ht="14.25" customHeight="1">
      <c r="A348" s="99">
        <v>347</v>
      </c>
      <c r="B348" s="100" t="str">
        <f t="shared" si="18"/>
        <v/>
      </c>
      <c r="C348" s="151"/>
      <c r="D348" s="152"/>
      <c r="E348" s="153"/>
      <c r="F348" s="153"/>
      <c r="G348" s="154"/>
      <c r="H348" s="154"/>
      <c r="I348" s="154"/>
      <c r="J348" s="64" t="str">
        <f>IFERROR(K348*I348*VLOOKUP(C348,Mnu!$E$20:$F$37,2,FALSE)," ")</f>
        <v xml:space="preserve"> </v>
      </c>
      <c r="K348" s="155"/>
      <c r="L348" s="156"/>
    </row>
    <row r="349" spans="1:12" ht="14.25" customHeight="1">
      <c r="A349" s="99">
        <v>348</v>
      </c>
      <c r="B349" s="100" t="str">
        <f t="shared" si="18"/>
        <v/>
      </c>
      <c r="C349" s="151"/>
      <c r="D349" s="152"/>
      <c r="E349" s="153"/>
      <c r="F349" s="153"/>
      <c r="G349" s="154"/>
      <c r="H349" s="154"/>
      <c r="I349" s="154"/>
      <c r="J349" s="64" t="str">
        <f>IFERROR(K349*I349*VLOOKUP(C349,Mnu!$E$20:$F$37,2,FALSE)," ")</f>
        <v xml:space="preserve"> </v>
      </c>
      <c r="K349" s="155"/>
      <c r="L349" s="156"/>
    </row>
    <row r="350" spans="1:12" ht="14.25" customHeight="1">
      <c r="A350" s="99">
        <v>349</v>
      </c>
      <c r="B350" s="100" t="str">
        <f t="shared" si="18"/>
        <v/>
      </c>
      <c r="C350" s="151"/>
      <c r="D350" s="152"/>
      <c r="E350" s="153"/>
      <c r="F350" s="153"/>
      <c r="G350" s="154"/>
      <c r="H350" s="154"/>
      <c r="I350" s="154"/>
      <c r="J350" s="64" t="str">
        <f>IFERROR(K350*I350*VLOOKUP(C350,Mnu!$E$20:$F$37,2,FALSE)," ")</f>
        <v xml:space="preserve"> </v>
      </c>
      <c r="K350" s="155"/>
      <c r="L350" s="156"/>
    </row>
    <row r="351" spans="1:12" ht="14.25" customHeight="1">
      <c r="A351" s="99">
        <v>350</v>
      </c>
      <c r="B351" s="100" t="str">
        <f t="shared" si="18"/>
        <v/>
      </c>
      <c r="C351" s="151"/>
      <c r="D351" s="152"/>
      <c r="E351" s="153"/>
      <c r="F351" s="153"/>
      <c r="G351" s="154"/>
      <c r="H351" s="154"/>
      <c r="I351" s="154"/>
      <c r="J351" s="64" t="str">
        <f>IFERROR(K351*I351*VLOOKUP(C351,Mnu!$E$20:$F$37,2,FALSE)," ")</f>
        <v xml:space="preserve"> </v>
      </c>
      <c r="K351" s="155"/>
      <c r="L351" s="156"/>
    </row>
    <row r="352" spans="1:12" ht="14.25" customHeight="1">
      <c r="A352" s="99">
        <v>351</v>
      </c>
      <c r="B352" s="100" t="str">
        <f t="shared" si="18"/>
        <v/>
      </c>
      <c r="C352" s="151"/>
      <c r="D352" s="152"/>
      <c r="E352" s="153"/>
      <c r="F352" s="153"/>
      <c r="G352" s="154"/>
      <c r="H352" s="154"/>
      <c r="I352" s="154"/>
      <c r="J352" s="64" t="str">
        <f>IFERROR(K352*I352*VLOOKUP(C352,Mnu!$E$20:$F$37,2,FALSE)," ")</f>
        <v xml:space="preserve"> </v>
      </c>
      <c r="K352" s="155"/>
      <c r="L352" s="156"/>
    </row>
    <row r="353" spans="1:12" ht="14.25" customHeight="1">
      <c r="A353" s="99">
        <v>352</v>
      </c>
      <c r="B353" s="100" t="str">
        <f t="shared" si="18"/>
        <v/>
      </c>
      <c r="C353" s="151"/>
      <c r="D353" s="152"/>
      <c r="E353" s="153"/>
      <c r="F353" s="153"/>
      <c r="G353" s="154"/>
      <c r="H353" s="154"/>
      <c r="I353" s="154"/>
      <c r="J353" s="64" t="str">
        <f>IFERROR(K353*I353*VLOOKUP(C353,Mnu!$E$20:$F$37,2,FALSE)," ")</f>
        <v xml:space="preserve"> </v>
      </c>
      <c r="K353" s="155"/>
      <c r="L353" s="156"/>
    </row>
    <row r="354" spans="1:12" ht="14.25" customHeight="1">
      <c r="A354" s="99">
        <v>353</v>
      </c>
      <c r="B354" s="100" t="str">
        <f t="shared" si="18"/>
        <v/>
      </c>
      <c r="C354" s="151"/>
      <c r="D354" s="152"/>
      <c r="E354" s="153"/>
      <c r="F354" s="153"/>
      <c r="G354" s="154"/>
      <c r="H354" s="154"/>
      <c r="I354" s="154"/>
      <c r="J354" s="64" t="str">
        <f>IFERROR(K354*I354*VLOOKUP(C354,Mnu!$E$20:$F$37,2,FALSE)," ")</f>
        <v xml:space="preserve"> </v>
      </c>
      <c r="K354" s="155"/>
      <c r="L354" s="156"/>
    </row>
    <row r="355" spans="1:12" ht="14.25" customHeight="1">
      <c r="A355" s="99">
        <v>354</v>
      </c>
      <c r="B355" s="100" t="str">
        <f t="shared" si="18"/>
        <v/>
      </c>
      <c r="C355" s="151"/>
      <c r="D355" s="152"/>
      <c r="E355" s="153"/>
      <c r="F355" s="153"/>
      <c r="G355" s="154"/>
      <c r="H355" s="154"/>
      <c r="I355" s="154"/>
      <c r="J355" s="64" t="str">
        <f>IFERROR(K355*I355*VLOOKUP(C355,Mnu!$E$20:$F$37,2,FALSE)," ")</f>
        <v xml:space="preserve"> </v>
      </c>
      <c r="K355" s="155"/>
      <c r="L355" s="156"/>
    </row>
    <row r="356" spans="1:12" ht="14.25" customHeight="1">
      <c r="A356" s="99">
        <v>355</v>
      </c>
      <c r="B356" s="100" t="str">
        <f t="shared" si="18"/>
        <v/>
      </c>
      <c r="C356" s="151"/>
      <c r="D356" s="152"/>
      <c r="E356" s="153"/>
      <c r="F356" s="153"/>
      <c r="G356" s="154"/>
      <c r="H356" s="154"/>
      <c r="I356" s="154"/>
      <c r="J356" s="64" t="str">
        <f>IFERROR(K356*I356*VLOOKUP(C356,Mnu!$E$20:$F$37,2,FALSE)," ")</f>
        <v xml:space="preserve"> </v>
      </c>
      <c r="K356" s="155"/>
      <c r="L356" s="156"/>
    </row>
    <row r="357" spans="1:12" ht="14.25" customHeight="1">
      <c r="A357" s="99">
        <v>356</v>
      </c>
      <c r="B357" s="100" t="str">
        <f t="shared" si="18"/>
        <v/>
      </c>
      <c r="C357" s="151"/>
      <c r="D357" s="152"/>
      <c r="E357" s="153"/>
      <c r="F357" s="153"/>
      <c r="G357" s="154"/>
      <c r="H357" s="154"/>
      <c r="I357" s="154"/>
      <c r="J357" s="64" t="str">
        <f>IFERROR(K357*I357*VLOOKUP(C357,Mnu!$E$20:$F$37,2,FALSE)," ")</f>
        <v xml:space="preserve"> </v>
      </c>
      <c r="K357" s="155"/>
      <c r="L357" s="156"/>
    </row>
    <row r="358" spans="1:12" ht="14.25" customHeight="1">
      <c r="A358" s="99">
        <v>357</v>
      </c>
      <c r="B358" s="100" t="str">
        <f t="shared" si="18"/>
        <v/>
      </c>
      <c r="C358" s="151"/>
      <c r="D358" s="152"/>
      <c r="E358" s="153"/>
      <c r="F358" s="153"/>
      <c r="G358" s="154"/>
      <c r="H358" s="154"/>
      <c r="I358" s="154"/>
      <c r="J358" s="64" t="str">
        <f>IFERROR(K358*I358*VLOOKUP(C358,Mnu!$E$20:$F$37,2,FALSE)," ")</f>
        <v xml:space="preserve"> </v>
      </c>
      <c r="K358" s="155"/>
      <c r="L358" s="156"/>
    </row>
    <row r="359" spans="1:12" ht="14.25" customHeight="1">
      <c r="A359" s="99">
        <v>358</v>
      </c>
      <c r="B359" s="100" t="str">
        <f t="shared" si="18"/>
        <v/>
      </c>
      <c r="C359" s="151"/>
      <c r="D359" s="152"/>
      <c r="E359" s="153"/>
      <c r="F359" s="153"/>
      <c r="G359" s="154"/>
      <c r="H359" s="154"/>
      <c r="I359" s="154"/>
      <c r="J359" s="64" t="str">
        <f>IFERROR(K359*I359*VLOOKUP(C359,Mnu!$E$20:$F$37,2,FALSE)," ")</f>
        <v xml:space="preserve"> </v>
      </c>
      <c r="K359" s="155"/>
      <c r="L359" s="156"/>
    </row>
    <row r="360" spans="1:12" ht="14.25" customHeight="1">
      <c r="A360" s="99">
        <v>359</v>
      </c>
      <c r="B360" s="100" t="str">
        <f t="shared" si="18"/>
        <v/>
      </c>
      <c r="C360" s="151"/>
      <c r="D360" s="152"/>
      <c r="E360" s="153"/>
      <c r="F360" s="153"/>
      <c r="G360" s="154"/>
      <c r="H360" s="154"/>
      <c r="I360" s="154"/>
      <c r="J360" s="64" t="str">
        <f>IFERROR(K360*I360*VLOOKUP(C360,Mnu!$E$20:$F$37,2,FALSE)," ")</f>
        <v xml:space="preserve"> </v>
      </c>
      <c r="K360" s="155"/>
      <c r="L360" s="156"/>
    </row>
    <row r="361" spans="1:12" ht="14.25" customHeight="1">
      <c r="A361" s="99">
        <v>360</v>
      </c>
      <c r="B361" s="100" t="str">
        <f t="shared" si="18"/>
        <v/>
      </c>
      <c r="C361" s="151"/>
      <c r="D361" s="152"/>
      <c r="E361" s="153"/>
      <c r="F361" s="153"/>
      <c r="G361" s="154"/>
      <c r="H361" s="154"/>
      <c r="I361" s="154"/>
      <c r="J361" s="64" t="str">
        <f>IFERROR(K361*I361*VLOOKUP(C361,Mnu!$E$20:$F$37,2,FALSE)," ")</f>
        <v xml:space="preserve"> </v>
      </c>
      <c r="K361" s="155"/>
      <c r="L361" s="156"/>
    </row>
    <row r="362" spans="1:12" ht="14.25" customHeight="1">
      <c r="A362" s="99">
        <v>361</v>
      </c>
      <c r="B362" s="100" t="str">
        <f t="shared" si="18"/>
        <v/>
      </c>
      <c r="C362" s="151"/>
      <c r="D362" s="152"/>
      <c r="E362" s="153"/>
      <c r="F362" s="153"/>
      <c r="G362" s="154"/>
      <c r="H362" s="154"/>
      <c r="I362" s="154"/>
      <c r="J362" s="64" t="str">
        <f>IFERROR(K362*I362*VLOOKUP(C362,Mnu!$E$20:$F$37,2,FALSE)," ")</f>
        <v xml:space="preserve"> </v>
      </c>
      <c r="K362" s="155"/>
      <c r="L362" s="156"/>
    </row>
    <row r="363" spans="1:12" ht="14.25" customHeight="1">
      <c r="A363" s="99">
        <v>362</v>
      </c>
      <c r="B363" s="100" t="str">
        <f t="shared" si="18"/>
        <v/>
      </c>
      <c r="C363" s="151"/>
      <c r="D363" s="152"/>
      <c r="E363" s="153"/>
      <c r="F363" s="153"/>
      <c r="G363" s="154"/>
      <c r="H363" s="154"/>
      <c r="I363" s="154"/>
      <c r="J363" s="64" t="str">
        <f>IFERROR(K363*I363*VLOOKUP(C363,Mnu!$E$20:$F$37,2,FALSE)," ")</f>
        <v xml:space="preserve"> </v>
      </c>
      <c r="K363" s="155"/>
      <c r="L363" s="156"/>
    </row>
    <row r="364" spans="1:12" ht="14.25" customHeight="1">
      <c r="A364" s="99">
        <v>363</v>
      </c>
      <c r="B364" s="100" t="str">
        <f t="shared" si="18"/>
        <v/>
      </c>
      <c r="C364" s="151"/>
      <c r="D364" s="152"/>
      <c r="E364" s="153"/>
      <c r="F364" s="153"/>
      <c r="G364" s="154"/>
      <c r="H364" s="154"/>
      <c r="I364" s="154"/>
      <c r="J364" s="64" t="str">
        <f>IFERROR(K364*I364*VLOOKUP(C364,Mnu!$E$20:$F$37,2,FALSE)," ")</f>
        <v xml:space="preserve"> </v>
      </c>
      <c r="K364" s="155"/>
      <c r="L364" s="156"/>
    </row>
    <row r="365" spans="1:12" ht="14.25" customHeight="1">
      <c r="A365" s="99">
        <v>364</v>
      </c>
      <c r="B365" s="100" t="str">
        <f t="shared" si="18"/>
        <v/>
      </c>
      <c r="C365" s="151"/>
      <c r="D365" s="152"/>
      <c r="E365" s="153"/>
      <c r="F365" s="153"/>
      <c r="G365" s="154"/>
      <c r="H365" s="154"/>
      <c r="I365" s="154"/>
      <c r="J365" s="64" t="str">
        <f>IFERROR(K365*I365*VLOOKUP(C365,Mnu!$E$20:$F$37,2,FALSE)," ")</f>
        <v xml:space="preserve"> </v>
      </c>
      <c r="K365" s="155"/>
      <c r="L365" s="156"/>
    </row>
    <row r="366" spans="1:12" ht="14.25" customHeight="1">
      <c r="A366" s="99">
        <v>365</v>
      </c>
      <c r="B366" s="100" t="str">
        <f t="shared" si="18"/>
        <v/>
      </c>
      <c r="C366" s="151"/>
      <c r="D366" s="152"/>
      <c r="E366" s="153"/>
      <c r="F366" s="153"/>
      <c r="G366" s="154"/>
      <c r="H366" s="154"/>
      <c r="I366" s="154"/>
      <c r="J366" s="64" t="str">
        <f>IFERROR(K366*I366*VLOOKUP(C366,Mnu!$E$20:$F$37,2,FALSE)," ")</f>
        <v xml:space="preserve"> </v>
      </c>
      <c r="K366" s="155"/>
      <c r="L366" s="156"/>
    </row>
    <row r="367" spans="1:12" ht="14.25" customHeight="1">
      <c r="A367" s="99">
        <v>366</v>
      </c>
      <c r="B367" s="100" t="str">
        <f t="shared" si="18"/>
        <v/>
      </c>
      <c r="C367" s="151"/>
      <c r="D367" s="152"/>
      <c r="E367" s="153"/>
      <c r="F367" s="153"/>
      <c r="G367" s="154"/>
      <c r="H367" s="154"/>
      <c r="I367" s="154"/>
      <c r="J367" s="64" t="str">
        <f>IFERROR(K367*I367*VLOOKUP(C367,Mnu!$E$20:$F$37,2,FALSE)," ")</f>
        <v xml:space="preserve"> </v>
      </c>
      <c r="K367" s="155"/>
      <c r="L367" s="156"/>
    </row>
    <row r="368" spans="1:12" ht="14.25" customHeight="1">
      <c r="A368" s="99">
        <v>367</v>
      </c>
      <c r="B368" s="100" t="str">
        <f t="shared" si="18"/>
        <v/>
      </c>
      <c r="C368" s="151"/>
      <c r="D368" s="152"/>
      <c r="E368" s="153"/>
      <c r="F368" s="153"/>
      <c r="G368" s="154"/>
      <c r="H368" s="154"/>
      <c r="I368" s="154"/>
      <c r="J368" s="64" t="str">
        <f>IFERROR(K368*I368*VLOOKUP(C368,Mnu!$E$20:$F$37,2,FALSE)," ")</f>
        <v xml:space="preserve"> </v>
      </c>
      <c r="K368" s="155"/>
      <c r="L368" s="156"/>
    </row>
    <row r="369" spans="1:12" ht="14.25" customHeight="1">
      <c r="A369" s="99">
        <v>368</v>
      </c>
      <c r="B369" s="100" t="str">
        <f t="shared" si="18"/>
        <v/>
      </c>
      <c r="C369" s="151"/>
      <c r="D369" s="152"/>
      <c r="E369" s="153"/>
      <c r="F369" s="153"/>
      <c r="G369" s="154"/>
      <c r="H369" s="154"/>
      <c r="I369" s="154"/>
      <c r="J369" s="64" t="str">
        <f>IFERROR(K369*I369*VLOOKUP(C369,Mnu!$E$20:$F$37,2,FALSE)," ")</f>
        <v xml:space="preserve"> </v>
      </c>
      <c r="K369" s="155"/>
      <c r="L369" s="156"/>
    </row>
    <row r="370" spans="1:12" ht="14.25" customHeight="1">
      <c r="A370" s="99">
        <v>369</v>
      </c>
      <c r="B370" s="100" t="str">
        <f t="shared" si="18"/>
        <v/>
      </c>
      <c r="C370" s="151"/>
      <c r="D370" s="152"/>
      <c r="E370" s="153"/>
      <c r="F370" s="153"/>
      <c r="G370" s="154"/>
      <c r="H370" s="154"/>
      <c r="I370" s="154"/>
      <c r="J370" s="64" t="str">
        <f>IFERROR(K370*I370*VLOOKUP(C370,Mnu!$E$20:$F$37,2,FALSE)," ")</f>
        <v xml:space="preserve"> </v>
      </c>
      <c r="K370" s="155"/>
      <c r="L370" s="156"/>
    </row>
    <row r="371" spans="1:12" ht="14.25" customHeight="1">
      <c r="A371" s="99">
        <v>370</v>
      </c>
      <c r="B371" s="100" t="str">
        <f t="shared" si="18"/>
        <v/>
      </c>
      <c r="C371" s="151"/>
      <c r="D371" s="152"/>
      <c r="E371" s="153"/>
      <c r="F371" s="153"/>
      <c r="G371" s="154"/>
      <c r="H371" s="154"/>
      <c r="I371" s="154"/>
      <c r="J371" s="64" t="str">
        <f>IFERROR(K371*I371*VLOOKUP(C371,Mnu!$E$20:$F$37,2,FALSE)," ")</f>
        <v xml:space="preserve"> </v>
      </c>
      <c r="K371" s="155"/>
      <c r="L371" s="156"/>
    </row>
    <row r="372" spans="1:12" ht="14.25" customHeight="1">
      <c r="A372" s="99">
        <v>371</v>
      </c>
      <c r="B372" s="100" t="str">
        <f t="shared" si="18"/>
        <v/>
      </c>
      <c r="C372" s="151"/>
      <c r="D372" s="152"/>
      <c r="E372" s="153"/>
      <c r="F372" s="153"/>
      <c r="G372" s="154"/>
      <c r="H372" s="154"/>
      <c r="I372" s="154"/>
      <c r="J372" s="64" t="str">
        <f>IFERROR(K372*I372*VLOOKUP(C372,Mnu!$E$20:$F$37,2,FALSE)," ")</f>
        <v xml:space="preserve"> </v>
      </c>
      <c r="K372" s="155"/>
      <c r="L372" s="156"/>
    </row>
    <row r="373" spans="1:12" ht="14.25" customHeight="1">
      <c r="A373" s="99">
        <v>372</v>
      </c>
      <c r="B373" s="100" t="str">
        <f t="shared" si="18"/>
        <v/>
      </c>
      <c r="C373" s="151"/>
      <c r="D373" s="152"/>
      <c r="E373" s="153"/>
      <c r="F373" s="153"/>
      <c r="G373" s="154"/>
      <c r="H373" s="154"/>
      <c r="I373" s="154"/>
      <c r="J373" s="64" t="str">
        <f>IFERROR(K373*I373*VLOOKUP(C373,Mnu!$E$20:$F$37,2,FALSE)," ")</f>
        <v xml:space="preserve"> </v>
      </c>
      <c r="K373" s="155"/>
      <c r="L373" s="156"/>
    </row>
    <row r="374" spans="1:12" ht="14.25" customHeight="1">
      <c r="A374" s="99">
        <v>373</v>
      </c>
      <c r="B374" s="100" t="str">
        <f t="shared" si="18"/>
        <v/>
      </c>
      <c r="C374" s="151"/>
      <c r="D374" s="152"/>
      <c r="E374" s="153"/>
      <c r="F374" s="153"/>
      <c r="G374" s="154"/>
      <c r="H374" s="154"/>
      <c r="I374" s="154"/>
      <c r="J374" s="64" t="str">
        <f>IFERROR(K374*I374*VLOOKUP(C374,Mnu!$E$20:$F$37,2,FALSE)," ")</f>
        <v xml:space="preserve"> </v>
      </c>
      <c r="K374" s="155"/>
      <c r="L374" s="156"/>
    </row>
    <row r="375" spans="1:12" ht="14.25" customHeight="1">
      <c r="A375" s="99">
        <v>374</v>
      </c>
      <c r="B375" s="100" t="str">
        <f t="shared" si="18"/>
        <v/>
      </c>
      <c r="C375" s="151"/>
      <c r="D375" s="152"/>
      <c r="E375" s="153"/>
      <c r="F375" s="153"/>
      <c r="G375" s="154"/>
      <c r="H375" s="154"/>
      <c r="I375" s="154"/>
      <c r="J375" s="64" t="str">
        <f>IFERROR(K375*I375*VLOOKUP(C375,Mnu!$E$20:$F$37,2,FALSE)," ")</f>
        <v xml:space="preserve"> </v>
      </c>
      <c r="K375" s="155"/>
      <c r="L375" s="156"/>
    </row>
    <row r="376" spans="1:12" ht="14.25" customHeight="1">
      <c r="A376" s="99">
        <v>375</v>
      </c>
      <c r="B376" s="100" t="str">
        <f t="shared" si="18"/>
        <v/>
      </c>
      <c r="C376" s="151"/>
      <c r="D376" s="152"/>
      <c r="E376" s="153"/>
      <c r="F376" s="153"/>
      <c r="G376" s="154"/>
      <c r="H376" s="154"/>
      <c r="I376" s="154"/>
      <c r="J376" s="64" t="str">
        <f>IFERROR(K376*I376*VLOOKUP(C376,Mnu!$E$20:$F$37,2,FALSE)," ")</f>
        <v xml:space="preserve"> </v>
      </c>
      <c r="K376" s="155"/>
      <c r="L376" s="156"/>
    </row>
    <row r="377" spans="1:12" ht="14.25" customHeight="1">
      <c r="A377" s="99">
        <v>376</v>
      </c>
      <c r="B377" s="100" t="str">
        <f t="shared" si="18"/>
        <v/>
      </c>
      <c r="C377" s="151"/>
      <c r="D377" s="152"/>
      <c r="E377" s="153"/>
      <c r="F377" s="153"/>
      <c r="G377" s="154"/>
      <c r="H377" s="154"/>
      <c r="I377" s="154"/>
      <c r="J377" s="64" t="str">
        <f>IFERROR(K377*I377*VLOOKUP(C377,Mnu!$E$20:$F$37,2,FALSE)," ")</f>
        <v xml:space="preserve"> </v>
      </c>
      <c r="K377" s="155"/>
      <c r="L377" s="156"/>
    </row>
    <row r="378" spans="1:12" ht="14.25" customHeight="1">
      <c r="A378" s="99">
        <v>377</v>
      </c>
      <c r="B378" s="100" t="str">
        <f t="shared" si="18"/>
        <v/>
      </c>
      <c r="C378" s="151"/>
      <c r="D378" s="152"/>
      <c r="E378" s="153"/>
      <c r="F378" s="153"/>
      <c r="G378" s="154"/>
      <c r="H378" s="154"/>
      <c r="I378" s="154"/>
      <c r="J378" s="64" t="str">
        <f>IFERROR(K378*I378*VLOOKUP(C378,Mnu!$E$20:$F$37,2,FALSE)," ")</f>
        <v xml:space="preserve"> </v>
      </c>
      <c r="K378" s="155"/>
      <c r="L378" s="156"/>
    </row>
    <row r="379" spans="1:12" ht="14.25" customHeight="1">
      <c r="A379" s="99">
        <v>378</v>
      </c>
      <c r="B379" s="100" t="str">
        <f t="shared" si="18"/>
        <v/>
      </c>
      <c r="C379" s="151"/>
      <c r="D379" s="152"/>
      <c r="E379" s="153"/>
      <c r="F379" s="153"/>
      <c r="G379" s="154"/>
      <c r="H379" s="154"/>
      <c r="I379" s="154"/>
      <c r="J379" s="64" t="str">
        <f>IFERROR(K379*I379*VLOOKUP(C379,Mnu!$E$20:$F$37,2,FALSE)," ")</f>
        <v xml:space="preserve"> </v>
      </c>
      <c r="K379" s="155"/>
      <c r="L379" s="156"/>
    </row>
    <row r="380" spans="1:12" ht="14.25" customHeight="1">
      <c r="A380" s="99">
        <v>379</v>
      </c>
      <c r="B380" s="100" t="str">
        <f t="shared" si="18"/>
        <v/>
      </c>
      <c r="C380" s="151"/>
      <c r="D380" s="152"/>
      <c r="E380" s="153"/>
      <c r="F380" s="153"/>
      <c r="G380" s="154"/>
      <c r="H380" s="154"/>
      <c r="I380" s="154"/>
      <c r="J380" s="64" t="str">
        <f>IFERROR(K380*I380*VLOOKUP(C380,Mnu!$E$20:$F$37,2,FALSE)," ")</f>
        <v xml:space="preserve"> </v>
      </c>
      <c r="K380" s="155"/>
      <c r="L380" s="156"/>
    </row>
    <row r="381" spans="1:12" ht="14.25" customHeight="1">
      <c r="A381" s="99">
        <v>380</v>
      </c>
      <c r="B381" s="100" t="str">
        <f t="shared" si="18"/>
        <v/>
      </c>
      <c r="C381" s="151"/>
      <c r="D381" s="152"/>
      <c r="E381" s="153"/>
      <c r="F381" s="153"/>
      <c r="G381" s="154"/>
      <c r="H381" s="154"/>
      <c r="I381" s="154"/>
      <c r="J381" s="64" t="str">
        <f>IFERROR(K381*I381*VLOOKUP(C381,Mnu!$E$20:$F$37,2,FALSE)," ")</f>
        <v xml:space="preserve"> </v>
      </c>
      <c r="K381" s="155"/>
      <c r="L381" s="156"/>
    </row>
    <row r="382" spans="1:12" ht="14.25" customHeight="1">
      <c r="A382" s="99">
        <v>381</v>
      </c>
      <c r="B382" s="100" t="str">
        <f t="shared" si="18"/>
        <v/>
      </c>
      <c r="C382" s="151"/>
      <c r="D382" s="152"/>
      <c r="E382" s="153"/>
      <c r="F382" s="153"/>
      <c r="G382" s="154"/>
      <c r="H382" s="154"/>
      <c r="I382" s="154"/>
      <c r="J382" s="64" t="str">
        <f>IFERROR(K382*I382*VLOOKUP(C382,Mnu!$E$20:$F$37,2,FALSE)," ")</f>
        <v xml:space="preserve"> </v>
      </c>
      <c r="K382" s="155"/>
      <c r="L382" s="156"/>
    </row>
    <row r="383" spans="1:12" ht="14.25" customHeight="1">
      <c r="A383" s="99">
        <v>382</v>
      </c>
      <c r="B383" s="100" t="str">
        <f t="shared" si="18"/>
        <v/>
      </c>
      <c r="C383" s="151"/>
      <c r="D383" s="152"/>
      <c r="E383" s="153"/>
      <c r="F383" s="153"/>
      <c r="G383" s="154"/>
      <c r="H383" s="154"/>
      <c r="I383" s="154"/>
      <c r="J383" s="64" t="str">
        <f>IFERROR(K383*I383*VLOOKUP(C383,Mnu!$E$20:$F$37,2,FALSE)," ")</f>
        <v xml:space="preserve"> </v>
      </c>
      <c r="K383" s="155"/>
      <c r="L383" s="156"/>
    </row>
    <row r="384" spans="1:12" ht="14.25" customHeight="1">
      <c r="A384" s="99">
        <v>383</v>
      </c>
      <c r="B384" s="100" t="str">
        <f t="shared" si="18"/>
        <v/>
      </c>
      <c r="C384" s="151"/>
      <c r="D384" s="152"/>
      <c r="E384" s="153"/>
      <c r="F384" s="153"/>
      <c r="G384" s="154"/>
      <c r="H384" s="154"/>
      <c r="I384" s="154"/>
      <c r="J384" s="64" t="str">
        <f>IFERROR(K384*I384*VLOOKUP(C384,Mnu!$E$20:$F$37,2,FALSE)," ")</f>
        <v xml:space="preserve"> </v>
      </c>
      <c r="K384" s="155"/>
      <c r="L384" s="156"/>
    </row>
    <row r="385" spans="1:12" ht="14.25" customHeight="1">
      <c r="A385" s="99">
        <v>384</v>
      </c>
      <c r="B385" s="100" t="str">
        <f t="shared" si="18"/>
        <v/>
      </c>
      <c r="C385" s="151"/>
      <c r="D385" s="152"/>
      <c r="E385" s="153"/>
      <c r="F385" s="153"/>
      <c r="G385" s="154"/>
      <c r="H385" s="154"/>
      <c r="I385" s="154"/>
      <c r="J385" s="64" t="str">
        <f>IFERROR(K385*I385*VLOOKUP(C385,Mnu!$E$20:$F$37,2,FALSE)," ")</f>
        <v xml:space="preserve"> </v>
      </c>
      <c r="K385" s="155"/>
      <c r="L385" s="156"/>
    </row>
    <row r="386" spans="1:12" ht="14.25" customHeight="1">
      <c r="A386" s="99">
        <v>385</v>
      </c>
      <c r="B386" s="100" t="str">
        <f t="shared" si="18"/>
        <v/>
      </c>
      <c r="C386" s="151"/>
      <c r="D386" s="152"/>
      <c r="E386" s="153"/>
      <c r="F386" s="153"/>
      <c r="G386" s="154"/>
      <c r="H386" s="154"/>
      <c r="I386" s="154"/>
      <c r="J386" s="64" t="str">
        <f>IFERROR(K386*I386*VLOOKUP(C386,Mnu!$E$20:$F$37,2,FALSE)," ")</f>
        <v xml:space="preserve"> </v>
      </c>
      <c r="K386" s="155"/>
      <c r="L386" s="156"/>
    </row>
    <row r="387" spans="1:12" ht="14.25" customHeight="1">
      <c r="A387" s="99">
        <v>386</v>
      </c>
      <c r="B387" s="100" t="str">
        <f t="shared" ref="B387:B450" si="19">IF(C387="","",IF(D387="Conv",IFERROR(D387&amp;"-"&amp;C387&amp;"-"&amp;F387&amp;"-"&amp;G387&amp;""&amp;H387&amp;"-"&amp;I387&amp;"W",""),IFERROR(C387&amp;"-"&amp;F387&amp;"-"&amp;G387&amp;""&amp;H387&amp;"-"&amp;I387&amp;"W","")))</f>
        <v/>
      </c>
      <c r="C387" s="151"/>
      <c r="D387" s="152"/>
      <c r="E387" s="153"/>
      <c r="F387" s="153"/>
      <c r="G387" s="154"/>
      <c r="H387" s="154"/>
      <c r="I387" s="154"/>
      <c r="J387" s="64" t="str">
        <f>IFERROR(K387*I387*VLOOKUP(C387,Mnu!$E$20:$F$37,2,FALSE)," ")</f>
        <v xml:space="preserve"> </v>
      </c>
      <c r="K387" s="155"/>
      <c r="L387" s="156"/>
    </row>
    <row r="388" spans="1:12" ht="14.25" customHeight="1">
      <c r="A388" s="99">
        <v>387</v>
      </c>
      <c r="B388" s="100" t="str">
        <f t="shared" si="19"/>
        <v/>
      </c>
      <c r="C388" s="151"/>
      <c r="D388" s="152"/>
      <c r="E388" s="153"/>
      <c r="F388" s="153"/>
      <c r="G388" s="154"/>
      <c r="H388" s="154"/>
      <c r="I388" s="154"/>
      <c r="J388" s="64" t="str">
        <f>IFERROR(K388*I388*VLOOKUP(C388,Mnu!$E$20:$F$37,2,FALSE)," ")</f>
        <v xml:space="preserve"> </v>
      </c>
      <c r="K388" s="155"/>
      <c r="L388" s="156"/>
    </row>
    <row r="389" spans="1:12" ht="14.25" customHeight="1">
      <c r="A389" s="99">
        <v>388</v>
      </c>
      <c r="B389" s="100" t="str">
        <f t="shared" si="19"/>
        <v/>
      </c>
      <c r="C389" s="151"/>
      <c r="D389" s="152"/>
      <c r="E389" s="153"/>
      <c r="F389" s="153"/>
      <c r="G389" s="154"/>
      <c r="H389" s="154"/>
      <c r="I389" s="154"/>
      <c r="J389" s="64" t="str">
        <f>IFERROR(K389*I389*VLOOKUP(C389,Mnu!$E$20:$F$37,2,FALSE)," ")</f>
        <v xml:space="preserve"> </v>
      </c>
      <c r="K389" s="155"/>
      <c r="L389" s="156"/>
    </row>
    <row r="390" spans="1:12" ht="14.25" customHeight="1">
      <c r="A390" s="99">
        <v>389</v>
      </c>
      <c r="B390" s="100" t="str">
        <f t="shared" si="19"/>
        <v/>
      </c>
      <c r="C390" s="151"/>
      <c r="D390" s="152"/>
      <c r="E390" s="153"/>
      <c r="F390" s="153"/>
      <c r="G390" s="154"/>
      <c r="H390" s="154"/>
      <c r="I390" s="154"/>
      <c r="J390" s="64" t="str">
        <f>IFERROR(K390*I390*VLOOKUP(C390,Mnu!$E$20:$F$37,2,FALSE)," ")</f>
        <v xml:space="preserve"> </v>
      </c>
      <c r="K390" s="155"/>
      <c r="L390" s="156"/>
    </row>
    <row r="391" spans="1:12" ht="14.25" customHeight="1">
      <c r="A391" s="99">
        <v>390</v>
      </c>
      <c r="B391" s="100" t="str">
        <f t="shared" si="19"/>
        <v/>
      </c>
      <c r="C391" s="151"/>
      <c r="D391" s="152"/>
      <c r="E391" s="153"/>
      <c r="F391" s="153"/>
      <c r="G391" s="154"/>
      <c r="H391" s="154"/>
      <c r="I391" s="154"/>
      <c r="J391" s="64" t="str">
        <f>IFERROR(K391*I391*VLOOKUP(C391,Mnu!$E$20:$F$37,2,FALSE)," ")</f>
        <v xml:space="preserve"> </v>
      </c>
      <c r="K391" s="155"/>
      <c r="L391" s="156"/>
    </row>
    <row r="392" spans="1:12" ht="14.25" customHeight="1">
      <c r="A392" s="99">
        <v>391</v>
      </c>
      <c r="B392" s="100" t="str">
        <f t="shared" si="19"/>
        <v/>
      </c>
      <c r="C392" s="151"/>
      <c r="D392" s="152"/>
      <c r="E392" s="153"/>
      <c r="F392" s="153"/>
      <c r="G392" s="154"/>
      <c r="H392" s="154"/>
      <c r="I392" s="154"/>
      <c r="J392" s="64" t="str">
        <f>IFERROR(K392*I392*VLOOKUP(C392,Mnu!$E$20:$F$37,2,FALSE)," ")</f>
        <v xml:space="preserve"> </v>
      </c>
      <c r="K392" s="155"/>
      <c r="L392" s="156"/>
    </row>
    <row r="393" spans="1:12" ht="14.25" customHeight="1">
      <c r="A393" s="99">
        <v>392</v>
      </c>
      <c r="B393" s="100" t="str">
        <f t="shared" si="19"/>
        <v/>
      </c>
      <c r="C393" s="151"/>
      <c r="D393" s="152"/>
      <c r="E393" s="153"/>
      <c r="F393" s="153"/>
      <c r="G393" s="154"/>
      <c r="H393" s="154"/>
      <c r="I393" s="154"/>
      <c r="J393" s="64" t="str">
        <f>IFERROR(K393*I393*VLOOKUP(C393,Mnu!$E$20:$F$37,2,FALSE)," ")</f>
        <v xml:space="preserve"> </v>
      </c>
      <c r="K393" s="155"/>
      <c r="L393" s="156"/>
    </row>
    <row r="394" spans="1:12" ht="14.25" customHeight="1">
      <c r="A394" s="99">
        <v>393</v>
      </c>
      <c r="B394" s="100" t="str">
        <f t="shared" si="19"/>
        <v/>
      </c>
      <c r="C394" s="151"/>
      <c r="D394" s="152"/>
      <c r="E394" s="153"/>
      <c r="F394" s="153"/>
      <c r="G394" s="154"/>
      <c r="H394" s="154"/>
      <c r="I394" s="154"/>
      <c r="J394" s="64" t="str">
        <f>IFERROR(K394*I394*VLOOKUP(C394,Mnu!$E$20:$F$37,2,FALSE)," ")</f>
        <v xml:space="preserve"> </v>
      </c>
      <c r="K394" s="155"/>
      <c r="L394" s="156"/>
    </row>
    <row r="395" spans="1:12" ht="14.25" customHeight="1">
      <c r="A395" s="99">
        <v>394</v>
      </c>
      <c r="B395" s="100" t="str">
        <f t="shared" si="19"/>
        <v/>
      </c>
      <c r="C395" s="151"/>
      <c r="D395" s="152"/>
      <c r="E395" s="153"/>
      <c r="F395" s="153"/>
      <c r="G395" s="154"/>
      <c r="H395" s="154"/>
      <c r="I395" s="154"/>
      <c r="J395" s="64" t="str">
        <f>IFERROR(K395*I395*VLOOKUP(C395,Mnu!$E$20:$F$37,2,FALSE)," ")</f>
        <v xml:space="preserve"> </v>
      </c>
      <c r="K395" s="155"/>
      <c r="L395" s="156"/>
    </row>
    <row r="396" spans="1:12" ht="14.25" customHeight="1">
      <c r="A396" s="99">
        <v>395</v>
      </c>
      <c r="B396" s="100" t="str">
        <f t="shared" si="19"/>
        <v/>
      </c>
      <c r="C396" s="151"/>
      <c r="D396" s="152"/>
      <c r="E396" s="153"/>
      <c r="F396" s="153"/>
      <c r="G396" s="154"/>
      <c r="H396" s="154"/>
      <c r="I396" s="154"/>
      <c r="J396" s="64" t="str">
        <f>IFERROR(K396*I396*VLOOKUP(C396,Mnu!$E$20:$F$37,2,FALSE)," ")</f>
        <v xml:space="preserve"> </v>
      </c>
      <c r="K396" s="155"/>
      <c r="L396" s="156"/>
    </row>
    <row r="397" spans="1:12" ht="14.25" customHeight="1">
      <c r="A397" s="99">
        <v>396</v>
      </c>
      <c r="B397" s="100" t="str">
        <f t="shared" si="19"/>
        <v/>
      </c>
      <c r="C397" s="151"/>
      <c r="D397" s="152"/>
      <c r="E397" s="153"/>
      <c r="F397" s="153"/>
      <c r="G397" s="154"/>
      <c r="H397" s="154"/>
      <c r="I397" s="154"/>
      <c r="J397" s="64" t="str">
        <f>IFERROR(K397*I397*VLOOKUP(C397,Mnu!$E$20:$F$37,2,FALSE)," ")</f>
        <v xml:space="preserve"> </v>
      </c>
      <c r="K397" s="155"/>
      <c r="L397" s="156"/>
    </row>
    <row r="398" spans="1:12" ht="14.25" customHeight="1">
      <c r="A398" s="99">
        <v>397</v>
      </c>
      <c r="B398" s="100" t="str">
        <f t="shared" si="19"/>
        <v/>
      </c>
      <c r="C398" s="151"/>
      <c r="D398" s="152"/>
      <c r="E398" s="153"/>
      <c r="F398" s="153"/>
      <c r="G398" s="154"/>
      <c r="H398" s="154"/>
      <c r="I398" s="154"/>
      <c r="J398" s="64" t="str">
        <f>IFERROR(K398*I398*VLOOKUP(C398,Mnu!$E$20:$F$37,2,FALSE)," ")</f>
        <v xml:space="preserve"> </v>
      </c>
      <c r="K398" s="155"/>
      <c r="L398" s="156"/>
    </row>
    <row r="399" spans="1:12" ht="14.25" customHeight="1">
      <c r="A399" s="99">
        <v>398</v>
      </c>
      <c r="B399" s="100" t="str">
        <f t="shared" si="19"/>
        <v/>
      </c>
      <c r="C399" s="151"/>
      <c r="D399" s="152"/>
      <c r="E399" s="153"/>
      <c r="F399" s="153"/>
      <c r="G399" s="154"/>
      <c r="H399" s="154"/>
      <c r="I399" s="154"/>
      <c r="J399" s="64" t="str">
        <f>IFERROR(K399*I399*VLOOKUP(C399,Mnu!$E$20:$F$37,2,FALSE)," ")</f>
        <v xml:space="preserve"> </v>
      </c>
      <c r="K399" s="155"/>
      <c r="L399" s="156"/>
    </row>
    <row r="400" spans="1:12" ht="14.25" customHeight="1">
      <c r="A400" s="99">
        <v>399</v>
      </c>
      <c r="B400" s="100" t="str">
        <f t="shared" si="19"/>
        <v/>
      </c>
      <c r="C400" s="151"/>
      <c r="D400" s="152"/>
      <c r="E400" s="153"/>
      <c r="F400" s="153"/>
      <c r="G400" s="154"/>
      <c r="H400" s="154"/>
      <c r="I400" s="154"/>
      <c r="J400" s="64" t="str">
        <f>IFERROR(K400*I400*VLOOKUP(C400,Mnu!$E$20:$F$37,2,FALSE)," ")</f>
        <v xml:space="preserve"> </v>
      </c>
      <c r="K400" s="155"/>
      <c r="L400" s="156"/>
    </row>
    <row r="401" spans="1:12" ht="14.25" customHeight="1">
      <c r="A401" s="99">
        <v>400</v>
      </c>
      <c r="B401" s="100" t="str">
        <f t="shared" si="19"/>
        <v/>
      </c>
      <c r="C401" s="151"/>
      <c r="D401" s="152"/>
      <c r="E401" s="153"/>
      <c r="F401" s="153"/>
      <c r="G401" s="154"/>
      <c r="H401" s="154"/>
      <c r="I401" s="154"/>
      <c r="J401" s="64" t="str">
        <f>IFERROR(K401*I401*VLOOKUP(C401,Mnu!$E$20:$F$37,2,FALSE)," ")</f>
        <v xml:space="preserve"> </v>
      </c>
      <c r="K401" s="155"/>
      <c r="L401" s="156"/>
    </row>
    <row r="402" spans="1:12" ht="14.25" customHeight="1">
      <c r="A402" s="99">
        <v>401</v>
      </c>
      <c r="B402" s="100" t="str">
        <f t="shared" si="19"/>
        <v/>
      </c>
      <c r="C402" s="151"/>
      <c r="D402" s="152"/>
      <c r="E402" s="153"/>
      <c r="F402" s="153"/>
      <c r="G402" s="154"/>
      <c r="H402" s="154"/>
      <c r="I402" s="154"/>
      <c r="J402" s="64" t="str">
        <f>IFERROR(K402*I402*VLOOKUP(C402,Mnu!$E$20:$F$37,2,FALSE)," ")</f>
        <v xml:space="preserve"> </v>
      </c>
      <c r="K402" s="155"/>
      <c r="L402" s="156"/>
    </row>
    <row r="403" spans="1:12" ht="14.25" customHeight="1">
      <c r="A403" s="99">
        <v>402</v>
      </c>
      <c r="B403" s="100" t="str">
        <f t="shared" si="19"/>
        <v/>
      </c>
      <c r="C403" s="151"/>
      <c r="D403" s="152"/>
      <c r="E403" s="153"/>
      <c r="F403" s="153"/>
      <c r="G403" s="154"/>
      <c r="H403" s="154"/>
      <c r="I403" s="154"/>
      <c r="J403" s="64" t="str">
        <f>IFERROR(K403*I403*VLOOKUP(C403,Mnu!$E$20:$F$37,2,FALSE)," ")</f>
        <v xml:space="preserve"> </v>
      </c>
      <c r="K403" s="155"/>
      <c r="L403" s="156"/>
    </row>
    <row r="404" spans="1:12" ht="14.25" customHeight="1">
      <c r="A404" s="99">
        <v>403</v>
      </c>
      <c r="B404" s="100" t="str">
        <f t="shared" si="19"/>
        <v/>
      </c>
      <c r="C404" s="151"/>
      <c r="D404" s="152"/>
      <c r="E404" s="153"/>
      <c r="F404" s="153"/>
      <c r="G404" s="154"/>
      <c r="H404" s="154"/>
      <c r="I404" s="154"/>
      <c r="J404" s="64" t="str">
        <f>IFERROR(K404*I404*VLOOKUP(C404,Mnu!$E$20:$F$37,2,FALSE)," ")</f>
        <v xml:space="preserve"> </v>
      </c>
      <c r="K404" s="155"/>
      <c r="L404" s="156"/>
    </row>
    <row r="405" spans="1:12" ht="14.25" customHeight="1">
      <c r="A405" s="99">
        <v>404</v>
      </c>
      <c r="B405" s="100" t="str">
        <f t="shared" si="19"/>
        <v/>
      </c>
      <c r="C405" s="151"/>
      <c r="D405" s="152"/>
      <c r="E405" s="153"/>
      <c r="F405" s="153"/>
      <c r="G405" s="154"/>
      <c r="H405" s="154"/>
      <c r="I405" s="154"/>
      <c r="J405" s="64" t="str">
        <f>IFERROR(K405*I405*VLOOKUP(C405,Mnu!$E$20:$F$37,2,FALSE)," ")</f>
        <v xml:space="preserve"> </v>
      </c>
      <c r="K405" s="155"/>
      <c r="L405" s="156"/>
    </row>
    <row r="406" spans="1:12" ht="14.25" customHeight="1">
      <c r="A406" s="99">
        <v>405</v>
      </c>
      <c r="B406" s="100" t="str">
        <f t="shared" si="19"/>
        <v/>
      </c>
      <c r="C406" s="151"/>
      <c r="D406" s="152"/>
      <c r="E406" s="153"/>
      <c r="F406" s="153"/>
      <c r="G406" s="154"/>
      <c r="H406" s="154"/>
      <c r="I406" s="154"/>
      <c r="J406" s="64" t="str">
        <f>IFERROR(K406*I406*VLOOKUP(C406,Mnu!$E$20:$F$37,2,FALSE)," ")</f>
        <v xml:space="preserve"> </v>
      </c>
      <c r="K406" s="155"/>
      <c r="L406" s="156"/>
    </row>
    <row r="407" spans="1:12" ht="14.25" customHeight="1">
      <c r="A407" s="99">
        <v>406</v>
      </c>
      <c r="B407" s="100" t="str">
        <f t="shared" si="19"/>
        <v/>
      </c>
      <c r="C407" s="151"/>
      <c r="D407" s="152"/>
      <c r="E407" s="153"/>
      <c r="F407" s="153"/>
      <c r="G407" s="154"/>
      <c r="H407" s="154"/>
      <c r="I407" s="154"/>
      <c r="J407" s="64" t="str">
        <f>IFERROR(K407*I407*VLOOKUP(C407,Mnu!$E$20:$F$37,2,FALSE)," ")</f>
        <v xml:space="preserve"> </v>
      </c>
      <c r="K407" s="155"/>
      <c r="L407" s="156"/>
    </row>
    <row r="408" spans="1:12" ht="14.25" customHeight="1">
      <c r="A408" s="99">
        <v>407</v>
      </c>
      <c r="B408" s="100" t="str">
        <f t="shared" si="19"/>
        <v/>
      </c>
      <c r="C408" s="151"/>
      <c r="D408" s="152"/>
      <c r="E408" s="153"/>
      <c r="F408" s="153"/>
      <c r="G408" s="154"/>
      <c r="H408" s="154"/>
      <c r="I408" s="154"/>
      <c r="J408" s="64" t="str">
        <f>IFERROR(K408*I408*VLOOKUP(C408,Mnu!$E$20:$F$37,2,FALSE)," ")</f>
        <v xml:space="preserve"> </v>
      </c>
      <c r="K408" s="155"/>
      <c r="L408" s="156"/>
    </row>
    <row r="409" spans="1:12" ht="14.25" customHeight="1">
      <c r="A409" s="99">
        <v>408</v>
      </c>
      <c r="B409" s="100" t="str">
        <f t="shared" si="19"/>
        <v/>
      </c>
      <c r="C409" s="151"/>
      <c r="D409" s="152"/>
      <c r="E409" s="153"/>
      <c r="F409" s="153"/>
      <c r="G409" s="154"/>
      <c r="H409" s="154"/>
      <c r="I409" s="154"/>
      <c r="J409" s="64" t="str">
        <f>IFERROR(K409*I409*VLOOKUP(C409,Mnu!$E$20:$F$37,2,FALSE)," ")</f>
        <v xml:space="preserve"> </v>
      </c>
      <c r="K409" s="155"/>
      <c r="L409" s="156"/>
    </row>
    <row r="410" spans="1:12" ht="14.25" customHeight="1">
      <c r="A410" s="99">
        <v>409</v>
      </c>
      <c r="B410" s="100" t="str">
        <f t="shared" si="19"/>
        <v/>
      </c>
      <c r="C410" s="151"/>
      <c r="D410" s="152"/>
      <c r="E410" s="153"/>
      <c r="F410" s="153"/>
      <c r="G410" s="154"/>
      <c r="H410" s="154"/>
      <c r="I410" s="154"/>
      <c r="J410" s="64" t="str">
        <f>IFERROR(K410*I410*VLOOKUP(C410,Mnu!$E$20:$F$37,2,FALSE)," ")</f>
        <v xml:space="preserve"> </v>
      </c>
      <c r="K410" s="155"/>
      <c r="L410" s="156"/>
    </row>
    <row r="411" spans="1:12" ht="14.25" customHeight="1">
      <c r="A411" s="99">
        <v>410</v>
      </c>
      <c r="B411" s="100" t="str">
        <f t="shared" si="19"/>
        <v/>
      </c>
      <c r="C411" s="151"/>
      <c r="D411" s="152"/>
      <c r="E411" s="153"/>
      <c r="F411" s="153"/>
      <c r="G411" s="154"/>
      <c r="H411" s="154"/>
      <c r="I411" s="154"/>
      <c r="J411" s="64" t="str">
        <f>IFERROR(K411*I411*VLOOKUP(C411,Mnu!$E$20:$F$37,2,FALSE)," ")</f>
        <v xml:space="preserve"> </v>
      </c>
      <c r="K411" s="155"/>
      <c r="L411" s="156"/>
    </row>
    <row r="412" spans="1:12" ht="14.25" customHeight="1">
      <c r="A412" s="99">
        <v>411</v>
      </c>
      <c r="B412" s="100" t="str">
        <f t="shared" si="19"/>
        <v/>
      </c>
      <c r="C412" s="151"/>
      <c r="D412" s="152"/>
      <c r="E412" s="153"/>
      <c r="F412" s="153"/>
      <c r="G412" s="154"/>
      <c r="H412" s="154"/>
      <c r="I412" s="154"/>
      <c r="J412" s="64" t="str">
        <f>IFERROR(K412*I412*VLOOKUP(C412,Mnu!$E$20:$F$37,2,FALSE)," ")</f>
        <v xml:space="preserve"> </v>
      </c>
      <c r="K412" s="155"/>
      <c r="L412" s="156"/>
    </row>
    <row r="413" spans="1:12" ht="14.25" customHeight="1">
      <c r="A413" s="99">
        <v>412</v>
      </c>
      <c r="B413" s="100" t="str">
        <f t="shared" si="19"/>
        <v/>
      </c>
      <c r="C413" s="151"/>
      <c r="D413" s="152"/>
      <c r="E413" s="153"/>
      <c r="F413" s="153"/>
      <c r="G413" s="154"/>
      <c r="H413" s="154"/>
      <c r="I413" s="154"/>
      <c r="J413" s="64" t="str">
        <f>IFERROR(K413*I413*VLOOKUP(C413,Mnu!$E$20:$F$37,2,FALSE)," ")</f>
        <v xml:space="preserve"> </v>
      </c>
      <c r="K413" s="155"/>
      <c r="L413" s="156"/>
    </row>
    <row r="414" spans="1:12" ht="14.25" customHeight="1">
      <c r="A414" s="99">
        <v>413</v>
      </c>
      <c r="B414" s="100" t="str">
        <f t="shared" si="19"/>
        <v/>
      </c>
      <c r="C414" s="151"/>
      <c r="D414" s="152"/>
      <c r="E414" s="153"/>
      <c r="F414" s="153"/>
      <c r="G414" s="154"/>
      <c r="H414" s="154"/>
      <c r="I414" s="154"/>
      <c r="J414" s="64" t="str">
        <f>IFERROR(K414*I414*VLOOKUP(C414,Mnu!$E$20:$F$37,2,FALSE)," ")</f>
        <v xml:space="preserve"> </v>
      </c>
      <c r="K414" s="155"/>
      <c r="L414" s="156"/>
    </row>
    <row r="415" spans="1:12" ht="14.25" customHeight="1">
      <c r="A415" s="99">
        <v>414</v>
      </c>
      <c r="B415" s="100" t="str">
        <f t="shared" si="19"/>
        <v/>
      </c>
      <c r="C415" s="151"/>
      <c r="D415" s="152"/>
      <c r="E415" s="153"/>
      <c r="F415" s="153"/>
      <c r="G415" s="154"/>
      <c r="H415" s="154"/>
      <c r="I415" s="154"/>
      <c r="J415" s="64" t="str">
        <f>IFERROR(K415*I415*VLOOKUP(C415,Mnu!$E$20:$F$37,2,FALSE)," ")</f>
        <v xml:space="preserve"> </v>
      </c>
      <c r="K415" s="155"/>
      <c r="L415" s="156"/>
    </row>
    <row r="416" spans="1:12" ht="14.25" customHeight="1">
      <c r="A416" s="99">
        <v>415</v>
      </c>
      <c r="B416" s="100" t="str">
        <f t="shared" si="19"/>
        <v/>
      </c>
      <c r="C416" s="151"/>
      <c r="D416" s="152"/>
      <c r="E416" s="153"/>
      <c r="F416" s="153"/>
      <c r="G416" s="154"/>
      <c r="H416" s="154"/>
      <c r="I416" s="154"/>
      <c r="J416" s="64" t="str">
        <f>IFERROR(K416*I416*VLOOKUP(C416,Mnu!$E$20:$F$37,2,FALSE)," ")</f>
        <v xml:space="preserve"> </v>
      </c>
      <c r="K416" s="155"/>
      <c r="L416" s="156"/>
    </row>
    <row r="417" spans="1:12" ht="14.25" customHeight="1">
      <c r="A417" s="99">
        <v>416</v>
      </c>
      <c r="B417" s="100" t="str">
        <f t="shared" si="19"/>
        <v/>
      </c>
      <c r="C417" s="151"/>
      <c r="D417" s="152"/>
      <c r="E417" s="153"/>
      <c r="F417" s="153"/>
      <c r="G417" s="154"/>
      <c r="H417" s="154"/>
      <c r="I417" s="154"/>
      <c r="J417" s="64" t="str">
        <f>IFERROR(K417*I417*VLOOKUP(C417,Mnu!$E$20:$F$37,2,FALSE)," ")</f>
        <v xml:space="preserve"> </v>
      </c>
      <c r="K417" s="155"/>
      <c r="L417" s="156"/>
    </row>
    <row r="418" spans="1:12" ht="14.25" customHeight="1">
      <c r="A418" s="99">
        <v>417</v>
      </c>
      <c r="B418" s="100" t="str">
        <f t="shared" si="19"/>
        <v/>
      </c>
      <c r="C418" s="151"/>
      <c r="D418" s="152"/>
      <c r="E418" s="153"/>
      <c r="F418" s="153"/>
      <c r="G418" s="154"/>
      <c r="H418" s="154"/>
      <c r="I418" s="154"/>
      <c r="J418" s="64" t="str">
        <f>IFERROR(K418*I418*VLOOKUP(C418,Mnu!$E$20:$F$37,2,FALSE)," ")</f>
        <v xml:space="preserve"> </v>
      </c>
      <c r="K418" s="155"/>
      <c r="L418" s="156"/>
    </row>
    <row r="419" spans="1:12" ht="14.25" customHeight="1">
      <c r="A419" s="99">
        <v>418</v>
      </c>
      <c r="B419" s="100" t="str">
        <f t="shared" si="19"/>
        <v/>
      </c>
      <c r="C419" s="151"/>
      <c r="D419" s="152"/>
      <c r="E419" s="153"/>
      <c r="F419" s="153"/>
      <c r="G419" s="154"/>
      <c r="H419" s="154"/>
      <c r="I419" s="154"/>
      <c r="J419" s="64" t="str">
        <f>IFERROR(K419*I419*VLOOKUP(C419,Mnu!$E$20:$F$37,2,FALSE)," ")</f>
        <v xml:space="preserve"> </v>
      </c>
      <c r="K419" s="155"/>
      <c r="L419" s="156"/>
    </row>
    <row r="420" spans="1:12" ht="14.25" customHeight="1">
      <c r="A420" s="99">
        <v>419</v>
      </c>
      <c r="B420" s="100" t="str">
        <f t="shared" si="19"/>
        <v/>
      </c>
      <c r="C420" s="151"/>
      <c r="D420" s="152"/>
      <c r="E420" s="153"/>
      <c r="F420" s="153"/>
      <c r="G420" s="154"/>
      <c r="H420" s="154"/>
      <c r="I420" s="154"/>
      <c r="J420" s="64" t="str">
        <f>IFERROR(K420*I420*VLOOKUP(C420,Mnu!$E$20:$F$37,2,FALSE)," ")</f>
        <v xml:space="preserve"> </v>
      </c>
      <c r="K420" s="155"/>
      <c r="L420" s="156"/>
    </row>
    <row r="421" spans="1:12" ht="14.25" customHeight="1">
      <c r="A421" s="99">
        <v>420</v>
      </c>
      <c r="B421" s="100" t="str">
        <f t="shared" si="19"/>
        <v/>
      </c>
      <c r="C421" s="151"/>
      <c r="D421" s="152"/>
      <c r="E421" s="153"/>
      <c r="F421" s="153"/>
      <c r="G421" s="154"/>
      <c r="H421" s="154"/>
      <c r="I421" s="154"/>
      <c r="J421" s="64" t="str">
        <f>IFERROR(K421*I421*VLOOKUP(C421,Mnu!$E$20:$F$37,2,FALSE)," ")</f>
        <v xml:space="preserve"> </v>
      </c>
      <c r="K421" s="155"/>
      <c r="L421" s="156"/>
    </row>
    <row r="422" spans="1:12" ht="14.25" customHeight="1">
      <c r="A422" s="99">
        <v>421</v>
      </c>
      <c r="B422" s="100" t="str">
        <f t="shared" si="19"/>
        <v/>
      </c>
      <c r="C422" s="151"/>
      <c r="D422" s="152"/>
      <c r="E422" s="153"/>
      <c r="F422" s="153"/>
      <c r="G422" s="154"/>
      <c r="H422" s="154"/>
      <c r="I422" s="154"/>
      <c r="J422" s="64" t="str">
        <f>IFERROR(K422*I422*VLOOKUP(C422,Mnu!$E$20:$F$37,2,FALSE)," ")</f>
        <v xml:space="preserve"> </v>
      </c>
      <c r="K422" s="155"/>
      <c r="L422" s="156"/>
    </row>
    <row r="423" spans="1:12" ht="14.25" customHeight="1">
      <c r="A423" s="99">
        <v>422</v>
      </c>
      <c r="B423" s="100" t="str">
        <f t="shared" si="19"/>
        <v/>
      </c>
      <c r="C423" s="151"/>
      <c r="D423" s="152"/>
      <c r="E423" s="153"/>
      <c r="F423" s="153"/>
      <c r="G423" s="154"/>
      <c r="H423" s="154"/>
      <c r="I423" s="154"/>
      <c r="J423" s="64" t="str">
        <f>IFERROR(K423*I423*VLOOKUP(C423,Mnu!$E$20:$F$37,2,FALSE)," ")</f>
        <v xml:space="preserve"> </v>
      </c>
      <c r="K423" s="155"/>
      <c r="L423" s="156"/>
    </row>
    <row r="424" spans="1:12" ht="14.25" customHeight="1">
      <c r="A424" s="99">
        <v>423</v>
      </c>
      <c r="B424" s="100" t="str">
        <f t="shared" si="19"/>
        <v/>
      </c>
      <c r="C424" s="151"/>
      <c r="D424" s="152"/>
      <c r="E424" s="153"/>
      <c r="F424" s="153"/>
      <c r="G424" s="154"/>
      <c r="H424" s="154"/>
      <c r="I424" s="154"/>
      <c r="J424" s="64" t="str">
        <f>IFERROR(K424*I424*VLOOKUP(C424,Mnu!$E$20:$F$37,2,FALSE)," ")</f>
        <v xml:space="preserve"> </v>
      </c>
      <c r="K424" s="155"/>
      <c r="L424" s="156"/>
    </row>
    <row r="425" spans="1:12" ht="14.25" customHeight="1">
      <c r="A425" s="99">
        <v>424</v>
      </c>
      <c r="B425" s="100" t="str">
        <f t="shared" si="19"/>
        <v/>
      </c>
      <c r="C425" s="151"/>
      <c r="D425" s="152"/>
      <c r="E425" s="153"/>
      <c r="F425" s="153"/>
      <c r="G425" s="154"/>
      <c r="H425" s="154"/>
      <c r="I425" s="154"/>
      <c r="J425" s="64" t="str">
        <f>IFERROR(K425*I425*VLOOKUP(C425,Mnu!$E$20:$F$37,2,FALSE)," ")</f>
        <v xml:space="preserve"> </v>
      </c>
      <c r="K425" s="155"/>
      <c r="L425" s="156"/>
    </row>
    <row r="426" spans="1:12" ht="14.25" customHeight="1">
      <c r="A426" s="99">
        <v>425</v>
      </c>
      <c r="B426" s="100" t="str">
        <f t="shared" si="19"/>
        <v/>
      </c>
      <c r="C426" s="151"/>
      <c r="D426" s="152"/>
      <c r="E426" s="153"/>
      <c r="F426" s="153"/>
      <c r="G426" s="154"/>
      <c r="H426" s="154"/>
      <c r="I426" s="154"/>
      <c r="J426" s="64" t="str">
        <f>IFERROR(K426*I426*VLOOKUP(C426,Mnu!$E$20:$F$37,2,FALSE)," ")</f>
        <v xml:space="preserve"> </v>
      </c>
      <c r="K426" s="155"/>
      <c r="L426" s="156"/>
    </row>
    <row r="427" spans="1:12" ht="14.25" customHeight="1">
      <c r="A427" s="99">
        <v>426</v>
      </c>
      <c r="B427" s="100" t="str">
        <f t="shared" si="19"/>
        <v/>
      </c>
      <c r="C427" s="151"/>
      <c r="D427" s="152"/>
      <c r="E427" s="153"/>
      <c r="F427" s="153"/>
      <c r="G427" s="154"/>
      <c r="H427" s="154"/>
      <c r="I427" s="154"/>
      <c r="J427" s="64" t="str">
        <f>IFERROR(K427*I427*VLOOKUP(C427,Mnu!$E$20:$F$37,2,FALSE)," ")</f>
        <v xml:space="preserve"> </v>
      </c>
      <c r="K427" s="155"/>
      <c r="L427" s="156"/>
    </row>
    <row r="428" spans="1:12" ht="14.25" customHeight="1">
      <c r="A428" s="99">
        <v>427</v>
      </c>
      <c r="B428" s="100" t="str">
        <f t="shared" si="19"/>
        <v/>
      </c>
      <c r="C428" s="151"/>
      <c r="D428" s="152"/>
      <c r="E428" s="153"/>
      <c r="F428" s="153"/>
      <c r="G428" s="154"/>
      <c r="H428" s="154"/>
      <c r="I428" s="154"/>
      <c r="J428" s="64" t="str">
        <f>IFERROR(K428*I428*VLOOKUP(C428,Mnu!$E$20:$F$37,2,FALSE)," ")</f>
        <v xml:space="preserve"> </v>
      </c>
      <c r="K428" s="155"/>
      <c r="L428" s="156"/>
    </row>
    <row r="429" spans="1:12" ht="14.25" customHeight="1">
      <c r="A429" s="99">
        <v>428</v>
      </c>
      <c r="B429" s="100" t="str">
        <f t="shared" si="19"/>
        <v/>
      </c>
      <c r="C429" s="151"/>
      <c r="D429" s="152"/>
      <c r="E429" s="153"/>
      <c r="F429" s="153"/>
      <c r="G429" s="154"/>
      <c r="H429" s="154"/>
      <c r="I429" s="154"/>
      <c r="J429" s="64" t="str">
        <f>IFERROR(K429*I429*VLOOKUP(C429,Mnu!$E$20:$F$37,2,FALSE)," ")</f>
        <v xml:space="preserve"> </v>
      </c>
      <c r="K429" s="155"/>
      <c r="L429" s="156"/>
    </row>
    <row r="430" spans="1:12" ht="14.25" customHeight="1">
      <c r="A430" s="99">
        <v>429</v>
      </c>
      <c r="B430" s="100" t="str">
        <f t="shared" si="19"/>
        <v/>
      </c>
      <c r="C430" s="151"/>
      <c r="D430" s="152"/>
      <c r="E430" s="153"/>
      <c r="F430" s="153"/>
      <c r="G430" s="154"/>
      <c r="H430" s="154"/>
      <c r="I430" s="154"/>
      <c r="J430" s="64" t="str">
        <f>IFERROR(K430*I430*VLOOKUP(C430,Mnu!$E$20:$F$37,2,FALSE)," ")</f>
        <v xml:space="preserve"> </v>
      </c>
      <c r="K430" s="155"/>
      <c r="L430" s="156"/>
    </row>
    <row r="431" spans="1:12" ht="14.25" customHeight="1">
      <c r="A431" s="99">
        <v>430</v>
      </c>
      <c r="B431" s="100" t="str">
        <f t="shared" si="19"/>
        <v/>
      </c>
      <c r="C431" s="151"/>
      <c r="D431" s="152"/>
      <c r="E431" s="153"/>
      <c r="F431" s="153"/>
      <c r="G431" s="154"/>
      <c r="H431" s="154"/>
      <c r="I431" s="154"/>
      <c r="J431" s="64" t="str">
        <f>IFERROR(K431*I431*VLOOKUP(C431,Mnu!$E$20:$F$37,2,FALSE)," ")</f>
        <v xml:space="preserve"> </v>
      </c>
      <c r="K431" s="155"/>
      <c r="L431" s="156"/>
    </row>
    <row r="432" spans="1:12" ht="14.25" customHeight="1">
      <c r="A432" s="99">
        <v>431</v>
      </c>
      <c r="B432" s="100" t="str">
        <f t="shared" si="19"/>
        <v/>
      </c>
      <c r="C432" s="151"/>
      <c r="D432" s="152"/>
      <c r="E432" s="153"/>
      <c r="F432" s="153"/>
      <c r="G432" s="154"/>
      <c r="H432" s="154"/>
      <c r="I432" s="154"/>
      <c r="J432" s="64" t="str">
        <f>IFERROR(K432*I432*VLOOKUP(C432,Mnu!$E$20:$F$37,2,FALSE)," ")</f>
        <v xml:space="preserve"> </v>
      </c>
      <c r="K432" s="155"/>
      <c r="L432" s="156"/>
    </row>
    <row r="433" spans="1:12" ht="14.25" customHeight="1">
      <c r="A433" s="99">
        <v>432</v>
      </c>
      <c r="B433" s="100" t="str">
        <f t="shared" si="19"/>
        <v/>
      </c>
      <c r="C433" s="151"/>
      <c r="D433" s="152"/>
      <c r="E433" s="153"/>
      <c r="F433" s="153"/>
      <c r="G433" s="154"/>
      <c r="H433" s="154"/>
      <c r="I433" s="154"/>
      <c r="J433" s="64" t="str">
        <f>IFERROR(K433*I433*VLOOKUP(C433,Mnu!$E$20:$F$37,2,FALSE)," ")</f>
        <v xml:space="preserve"> </v>
      </c>
      <c r="K433" s="155"/>
      <c r="L433" s="156"/>
    </row>
    <row r="434" spans="1:12" ht="14.25" customHeight="1">
      <c r="A434" s="99">
        <v>433</v>
      </c>
      <c r="B434" s="100" t="str">
        <f t="shared" si="19"/>
        <v/>
      </c>
      <c r="C434" s="151"/>
      <c r="D434" s="152"/>
      <c r="E434" s="153"/>
      <c r="F434" s="153"/>
      <c r="G434" s="154"/>
      <c r="H434" s="154"/>
      <c r="I434" s="154"/>
      <c r="J434" s="64" t="str">
        <f>IFERROR(K434*I434*VLOOKUP(C434,Mnu!$E$20:$F$37,2,FALSE)," ")</f>
        <v xml:space="preserve"> </v>
      </c>
      <c r="K434" s="155"/>
      <c r="L434" s="156"/>
    </row>
    <row r="435" spans="1:12" ht="14.25" customHeight="1">
      <c r="A435" s="99">
        <v>434</v>
      </c>
      <c r="B435" s="100" t="str">
        <f t="shared" si="19"/>
        <v/>
      </c>
      <c r="C435" s="151"/>
      <c r="D435" s="152"/>
      <c r="E435" s="153"/>
      <c r="F435" s="153"/>
      <c r="G435" s="154"/>
      <c r="H435" s="154"/>
      <c r="I435" s="154"/>
      <c r="J435" s="64" t="str">
        <f>IFERROR(K435*I435*VLOOKUP(C435,Mnu!$E$20:$F$37,2,FALSE)," ")</f>
        <v xml:space="preserve"> </v>
      </c>
      <c r="K435" s="155"/>
      <c r="L435" s="156"/>
    </row>
    <row r="436" spans="1:12" ht="14.25" customHeight="1">
      <c r="A436" s="99">
        <v>435</v>
      </c>
      <c r="B436" s="100" t="str">
        <f t="shared" si="19"/>
        <v/>
      </c>
      <c r="C436" s="151"/>
      <c r="D436" s="152"/>
      <c r="E436" s="153"/>
      <c r="F436" s="153"/>
      <c r="G436" s="154"/>
      <c r="H436" s="154"/>
      <c r="I436" s="154"/>
      <c r="J436" s="64" t="str">
        <f>IFERROR(K436*I436*VLOOKUP(C436,Mnu!$E$20:$F$37,2,FALSE)," ")</f>
        <v xml:space="preserve"> </v>
      </c>
      <c r="K436" s="155"/>
      <c r="L436" s="156"/>
    </row>
    <row r="437" spans="1:12" ht="14.25" customHeight="1">
      <c r="A437" s="99">
        <v>436</v>
      </c>
      <c r="B437" s="100" t="str">
        <f t="shared" si="19"/>
        <v/>
      </c>
      <c r="C437" s="151"/>
      <c r="D437" s="152"/>
      <c r="E437" s="153"/>
      <c r="F437" s="153"/>
      <c r="G437" s="154"/>
      <c r="H437" s="154"/>
      <c r="I437" s="154"/>
      <c r="J437" s="64" t="str">
        <f>IFERROR(K437*I437*VLOOKUP(C437,Mnu!$E$20:$F$37,2,FALSE)," ")</f>
        <v xml:space="preserve"> </v>
      </c>
      <c r="K437" s="155"/>
      <c r="L437" s="156"/>
    </row>
    <row r="438" spans="1:12" ht="14.25" customHeight="1">
      <c r="A438" s="99">
        <v>437</v>
      </c>
      <c r="B438" s="100" t="str">
        <f t="shared" si="19"/>
        <v/>
      </c>
      <c r="C438" s="151"/>
      <c r="D438" s="152"/>
      <c r="E438" s="153"/>
      <c r="F438" s="153"/>
      <c r="G438" s="154"/>
      <c r="H438" s="154"/>
      <c r="I438" s="154"/>
      <c r="J438" s="64" t="str">
        <f>IFERROR(K438*I438*VLOOKUP(C438,Mnu!$E$20:$F$37,2,FALSE)," ")</f>
        <v xml:space="preserve"> </v>
      </c>
      <c r="K438" s="155"/>
      <c r="L438" s="156"/>
    </row>
    <row r="439" spans="1:12" ht="14.25" customHeight="1">
      <c r="A439" s="99">
        <v>438</v>
      </c>
      <c r="B439" s="100" t="str">
        <f t="shared" si="19"/>
        <v/>
      </c>
      <c r="C439" s="151"/>
      <c r="D439" s="152"/>
      <c r="E439" s="153"/>
      <c r="F439" s="153"/>
      <c r="G439" s="154"/>
      <c r="H439" s="154"/>
      <c r="I439" s="154"/>
      <c r="J439" s="64" t="str">
        <f>IFERROR(K439*I439*VLOOKUP(C439,Mnu!$E$20:$F$37,2,FALSE)," ")</f>
        <v xml:space="preserve"> </v>
      </c>
      <c r="K439" s="155"/>
      <c r="L439" s="156"/>
    </row>
    <row r="440" spans="1:12" ht="14.25" customHeight="1">
      <c r="A440" s="99">
        <v>439</v>
      </c>
      <c r="B440" s="100" t="str">
        <f t="shared" si="19"/>
        <v/>
      </c>
      <c r="C440" s="151"/>
      <c r="D440" s="152"/>
      <c r="E440" s="153"/>
      <c r="F440" s="153"/>
      <c r="G440" s="154"/>
      <c r="H440" s="154"/>
      <c r="I440" s="154"/>
      <c r="J440" s="64" t="str">
        <f>IFERROR(K440*I440*VLOOKUP(C440,Mnu!$E$20:$F$37,2,FALSE)," ")</f>
        <v xml:space="preserve"> </v>
      </c>
      <c r="K440" s="155"/>
      <c r="L440" s="156"/>
    </row>
    <row r="441" spans="1:12" ht="14.25" customHeight="1">
      <c r="A441" s="99">
        <v>440</v>
      </c>
      <c r="B441" s="100" t="str">
        <f t="shared" si="19"/>
        <v/>
      </c>
      <c r="C441" s="151"/>
      <c r="D441" s="152"/>
      <c r="E441" s="153"/>
      <c r="F441" s="153"/>
      <c r="G441" s="154"/>
      <c r="H441" s="154"/>
      <c r="I441" s="154"/>
      <c r="J441" s="64" t="str">
        <f>IFERROR(K441*I441*VLOOKUP(C441,Mnu!$E$20:$F$37,2,FALSE)," ")</f>
        <v xml:space="preserve"> </v>
      </c>
      <c r="K441" s="155"/>
      <c r="L441" s="156"/>
    </row>
    <row r="442" spans="1:12" ht="14.25" customHeight="1">
      <c r="A442" s="99">
        <v>441</v>
      </c>
      <c r="B442" s="100" t="str">
        <f t="shared" si="19"/>
        <v/>
      </c>
      <c r="C442" s="151"/>
      <c r="D442" s="152"/>
      <c r="E442" s="153"/>
      <c r="F442" s="153"/>
      <c r="G442" s="154"/>
      <c r="H442" s="154"/>
      <c r="I442" s="154"/>
      <c r="J442" s="64" t="str">
        <f>IFERROR(K442*I442*VLOOKUP(C442,Mnu!$E$20:$F$37,2,FALSE)," ")</f>
        <v xml:space="preserve"> </v>
      </c>
      <c r="K442" s="155"/>
      <c r="L442" s="156"/>
    </row>
    <row r="443" spans="1:12" ht="14.25" customHeight="1">
      <c r="A443" s="99">
        <v>442</v>
      </c>
      <c r="B443" s="100" t="str">
        <f t="shared" si="19"/>
        <v/>
      </c>
      <c r="C443" s="151"/>
      <c r="D443" s="152"/>
      <c r="E443" s="153"/>
      <c r="F443" s="153"/>
      <c r="G443" s="154"/>
      <c r="H443" s="154"/>
      <c r="I443" s="154"/>
      <c r="J443" s="64" t="str">
        <f>IFERROR(K443*I443*VLOOKUP(C443,Mnu!$E$20:$F$37,2,FALSE)," ")</f>
        <v xml:space="preserve"> </v>
      </c>
      <c r="K443" s="155"/>
      <c r="L443" s="156"/>
    </row>
    <row r="444" spans="1:12" ht="14.25" customHeight="1">
      <c r="A444" s="99">
        <v>443</v>
      </c>
      <c r="B444" s="100" t="str">
        <f t="shared" si="19"/>
        <v/>
      </c>
      <c r="C444" s="151"/>
      <c r="D444" s="152"/>
      <c r="E444" s="153"/>
      <c r="F444" s="153"/>
      <c r="G444" s="154"/>
      <c r="H444" s="154"/>
      <c r="I444" s="154"/>
      <c r="J444" s="64" t="str">
        <f>IFERROR(K444*I444*VLOOKUP(C444,Mnu!$E$20:$F$37,2,FALSE)," ")</f>
        <v xml:space="preserve"> </v>
      </c>
      <c r="K444" s="155"/>
      <c r="L444" s="156"/>
    </row>
    <row r="445" spans="1:12" ht="14.25" customHeight="1">
      <c r="A445" s="99">
        <v>444</v>
      </c>
      <c r="B445" s="100" t="str">
        <f t="shared" si="19"/>
        <v/>
      </c>
      <c r="C445" s="151"/>
      <c r="D445" s="152"/>
      <c r="E445" s="153"/>
      <c r="F445" s="153"/>
      <c r="G445" s="154"/>
      <c r="H445" s="154"/>
      <c r="I445" s="154"/>
      <c r="J445" s="64" t="str">
        <f>IFERROR(K445*I445*VLOOKUP(C445,Mnu!$E$20:$F$37,2,FALSE)," ")</f>
        <v xml:space="preserve"> </v>
      </c>
      <c r="K445" s="155"/>
      <c r="L445" s="156"/>
    </row>
    <row r="446" spans="1:12" ht="14.25" customHeight="1">
      <c r="A446" s="99">
        <v>445</v>
      </c>
      <c r="B446" s="100" t="str">
        <f t="shared" si="19"/>
        <v/>
      </c>
      <c r="C446" s="151"/>
      <c r="D446" s="152"/>
      <c r="E446" s="153"/>
      <c r="F446" s="153"/>
      <c r="G446" s="154"/>
      <c r="H446" s="154"/>
      <c r="I446" s="154"/>
      <c r="J446" s="64" t="str">
        <f>IFERROR(K446*I446*VLOOKUP(C446,Mnu!$E$20:$F$37,2,FALSE)," ")</f>
        <v xml:space="preserve"> </v>
      </c>
      <c r="K446" s="155"/>
      <c r="L446" s="156"/>
    </row>
    <row r="447" spans="1:12" ht="14.25" customHeight="1">
      <c r="A447" s="99">
        <v>446</v>
      </c>
      <c r="B447" s="100" t="str">
        <f t="shared" si="19"/>
        <v/>
      </c>
      <c r="C447" s="151"/>
      <c r="D447" s="152"/>
      <c r="E447" s="153"/>
      <c r="F447" s="153"/>
      <c r="G447" s="154"/>
      <c r="H447" s="154"/>
      <c r="I447" s="154"/>
      <c r="J447" s="64" t="str">
        <f>IFERROR(K447*I447*VLOOKUP(C447,Mnu!$E$20:$F$37,2,FALSE)," ")</f>
        <v xml:space="preserve"> </v>
      </c>
      <c r="K447" s="155"/>
      <c r="L447" s="156"/>
    </row>
    <row r="448" spans="1:12" ht="14.25" customHeight="1">
      <c r="A448" s="99">
        <v>447</v>
      </c>
      <c r="B448" s="100" t="str">
        <f t="shared" si="19"/>
        <v/>
      </c>
      <c r="C448" s="151"/>
      <c r="D448" s="152"/>
      <c r="E448" s="153"/>
      <c r="F448" s="153"/>
      <c r="G448" s="154"/>
      <c r="H448" s="154"/>
      <c r="I448" s="154"/>
      <c r="J448" s="64" t="str">
        <f>IFERROR(K448*I448*VLOOKUP(C448,Mnu!$E$20:$F$37,2,FALSE)," ")</f>
        <v xml:space="preserve"> </v>
      </c>
      <c r="K448" s="155"/>
      <c r="L448" s="156"/>
    </row>
    <row r="449" spans="1:12" ht="14.25" customHeight="1">
      <c r="A449" s="99">
        <v>448</v>
      </c>
      <c r="B449" s="100" t="str">
        <f t="shared" si="19"/>
        <v/>
      </c>
      <c r="C449" s="151"/>
      <c r="D449" s="152"/>
      <c r="E449" s="153"/>
      <c r="F449" s="153"/>
      <c r="G449" s="154"/>
      <c r="H449" s="154"/>
      <c r="I449" s="154"/>
      <c r="J449" s="64" t="str">
        <f>IFERROR(K449*I449*VLOOKUP(C449,Mnu!$E$20:$F$37,2,FALSE)," ")</f>
        <v xml:space="preserve"> </v>
      </c>
      <c r="K449" s="155"/>
      <c r="L449" s="156"/>
    </row>
    <row r="450" spans="1:12" ht="14.25" customHeight="1">
      <c r="A450" s="99">
        <v>449</v>
      </c>
      <c r="B450" s="100" t="str">
        <f t="shared" si="19"/>
        <v/>
      </c>
      <c r="C450" s="151"/>
      <c r="D450" s="152"/>
      <c r="E450" s="153"/>
      <c r="F450" s="153"/>
      <c r="G450" s="154"/>
      <c r="H450" s="154"/>
      <c r="I450" s="154"/>
      <c r="J450" s="64" t="str">
        <f>IFERROR(K450*I450*VLOOKUP(C450,Mnu!$E$20:$F$37,2,FALSE)," ")</f>
        <v xml:space="preserve"> </v>
      </c>
      <c r="K450" s="155"/>
      <c r="L450" s="156"/>
    </row>
    <row r="451" spans="1:12" ht="14.25" customHeight="1">
      <c r="A451" s="99">
        <v>450</v>
      </c>
      <c r="B451" s="100" t="str">
        <f t="shared" ref="B451:B500" si="20">IF(C451="","",IF(D451="Conv",IFERROR(D451&amp;"-"&amp;C451&amp;"-"&amp;F451&amp;"-"&amp;G451&amp;""&amp;H451&amp;"-"&amp;I451&amp;"W",""),IFERROR(C451&amp;"-"&amp;F451&amp;"-"&amp;G451&amp;""&amp;H451&amp;"-"&amp;I451&amp;"W","")))</f>
        <v/>
      </c>
      <c r="C451" s="151"/>
      <c r="D451" s="152"/>
      <c r="E451" s="153"/>
      <c r="F451" s="153"/>
      <c r="G451" s="154"/>
      <c r="H451" s="154"/>
      <c r="I451" s="154"/>
      <c r="J451" s="64" t="str">
        <f>IFERROR(K451*I451*VLOOKUP(C451,Mnu!$E$20:$F$37,2,FALSE)," ")</f>
        <v xml:space="preserve"> </v>
      </c>
      <c r="K451" s="155"/>
      <c r="L451" s="156"/>
    </row>
    <row r="452" spans="1:12" ht="14.25" customHeight="1">
      <c r="A452" s="99">
        <v>451</v>
      </c>
      <c r="B452" s="100" t="str">
        <f t="shared" si="20"/>
        <v/>
      </c>
      <c r="C452" s="151"/>
      <c r="D452" s="152"/>
      <c r="E452" s="153"/>
      <c r="F452" s="153"/>
      <c r="G452" s="154"/>
      <c r="H452" s="154"/>
      <c r="I452" s="154"/>
      <c r="J452" s="64" t="str">
        <f>IFERROR(K452*I452*VLOOKUP(C452,Mnu!$E$20:$F$37,2,FALSE)," ")</f>
        <v xml:space="preserve"> </v>
      </c>
      <c r="K452" s="155"/>
      <c r="L452" s="156"/>
    </row>
    <row r="453" spans="1:12" ht="14.25" customHeight="1">
      <c r="A453" s="99">
        <v>452</v>
      </c>
      <c r="B453" s="100" t="str">
        <f t="shared" si="20"/>
        <v/>
      </c>
      <c r="C453" s="151"/>
      <c r="D453" s="152"/>
      <c r="E453" s="153"/>
      <c r="F453" s="153"/>
      <c r="G453" s="154"/>
      <c r="H453" s="154"/>
      <c r="I453" s="154"/>
      <c r="J453" s="64" t="str">
        <f>IFERROR(K453*I453*VLOOKUP(C453,Mnu!$E$20:$F$37,2,FALSE)," ")</f>
        <v xml:space="preserve"> </v>
      </c>
      <c r="K453" s="155"/>
      <c r="L453" s="156"/>
    </row>
    <row r="454" spans="1:12" ht="14.25" customHeight="1">
      <c r="A454" s="99">
        <v>453</v>
      </c>
      <c r="B454" s="100" t="str">
        <f t="shared" si="20"/>
        <v/>
      </c>
      <c r="C454" s="151"/>
      <c r="D454" s="152"/>
      <c r="E454" s="153"/>
      <c r="F454" s="153"/>
      <c r="G454" s="154"/>
      <c r="H454" s="154"/>
      <c r="I454" s="154"/>
      <c r="J454" s="64" t="str">
        <f>IFERROR(K454*I454*VLOOKUP(C454,Mnu!$E$20:$F$37,2,FALSE)," ")</f>
        <v xml:space="preserve"> </v>
      </c>
      <c r="K454" s="155"/>
      <c r="L454" s="156"/>
    </row>
    <row r="455" spans="1:12" ht="14.25" customHeight="1">
      <c r="A455" s="99">
        <v>454</v>
      </c>
      <c r="B455" s="100" t="str">
        <f t="shared" si="20"/>
        <v/>
      </c>
      <c r="C455" s="151"/>
      <c r="D455" s="152"/>
      <c r="E455" s="153"/>
      <c r="F455" s="153"/>
      <c r="G455" s="154"/>
      <c r="H455" s="154"/>
      <c r="I455" s="154"/>
      <c r="J455" s="64" t="str">
        <f>IFERROR(K455*I455*VLOOKUP(C455,Mnu!$E$20:$F$37,2,FALSE)," ")</f>
        <v xml:space="preserve"> </v>
      </c>
      <c r="K455" s="155"/>
      <c r="L455" s="156"/>
    </row>
    <row r="456" spans="1:12" ht="14.25" customHeight="1">
      <c r="A456" s="99">
        <v>455</v>
      </c>
      <c r="B456" s="100" t="str">
        <f t="shared" si="20"/>
        <v/>
      </c>
      <c r="C456" s="151"/>
      <c r="D456" s="152"/>
      <c r="E456" s="153"/>
      <c r="F456" s="153"/>
      <c r="G456" s="154"/>
      <c r="H456" s="154"/>
      <c r="I456" s="154"/>
      <c r="J456" s="64" t="str">
        <f>IFERROR(K456*I456*VLOOKUP(C456,Mnu!$E$20:$F$37,2,FALSE)," ")</f>
        <v xml:space="preserve"> </v>
      </c>
      <c r="K456" s="155"/>
      <c r="L456" s="156"/>
    </row>
    <row r="457" spans="1:12" ht="14.25" customHeight="1">
      <c r="A457" s="99">
        <v>456</v>
      </c>
      <c r="B457" s="100" t="str">
        <f t="shared" si="20"/>
        <v/>
      </c>
      <c r="C457" s="151"/>
      <c r="D457" s="152"/>
      <c r="E457" s="153"/>
      <c r="F457" s="153"/>
      <c r="G457" s="154"/>
      <c r="H457" s="154"/>
      <c r="I457" s="154"/>
      <c r="J457" s="64" t="str">
        <f>IFERROR(K457*I457*VLOOKUP(C457,Mnu!$E$20:$F$37,2,FALSE)," ")</f>
        <v xml:space="preserve"> </v>
      </c>
      <c r="K457" s="155"/>
      <c r="L457" s="156"/>
    </row>
    <row r="458" spans="1:12" ht="14.25" customHeight="1">
      <c r="A458" s="99">
        <v>457</v>
      </c>
      <c r="B458" s="100" t="str">
        <f t="shared" si="20"/>
        <v/>
      </c>
      <c r="C458" s="151"/>
      <c r="D458" s="152"/>
      <c r="E458" s="153"/>
      <c r="F458" s="153"/>
      <c r="G458" s="154"/>
      <c r="H458" s="154"/>
      <c r="I458" s="154"/>
      <c r="J458" s="64" t="str">
        <f>IFERROR(K458*I458*VLOOKUP(C458,Mnu!$E$20:$F$37,2,FALSE)," ")</f>
        <v xml:space="preserve"> </v>
      </c>
      <c r="K458" s="155"/>
      <c r="L458" s="156"/>
    </row>
    <row r="459" spans="1:12" ht="14.25" customHeight="1">
      <c r="A459" s="99">
        <v>458</v>
      </c>
      <c r="B459" s="100" t="str">
        <f t="shared" si="20"/>
        <v/>
      </c>
      <c r="C459" s="151"/>
      <c r="D459" s="152"/>
      <c r="E459" s="153"/>
      <c r="F459" s="153"/>
      <c r="G459" s="154"/>
      <c r="H459" s="154"/>
      <c r="I459" s="154"/>
      <c r="J459" s="64" t="str">
        <f>IFERROR(K459*I459*VLOOKUP(C459,Mnu!$E$20:$F$37,2,FALSE)," ")</f>
        <v xml:space="preserve"> </v>
      </c>
      <c r="K459" s="155"/>
      <c r="L459" s="156"/>
    </row>
    <row r="460" spans="1:12" ht="14.25" customHeight="1">
      <c r="A460" s="99">
        <v>459</v>
      </c>
      <c r="B460" s="100" t="str">
        <f t="shared" si="20"/>
        <v/>
      </c>
      <c r="C460" s="151"/>
      <c r="D460" s="152"/>
      <c r="E460" s="153"/>
      <c r="F460" s="153"/>
      <c r="G460" s="154"/>
      <c r="H460" s="154"/>
      <c r="I460" s="154"/>
      <c r="J460" s="64" t="str">
        <f>IFERROR(K460*I460*VLOOKUP(C460,Mnu!$E$20:$F$37,2,FALSE)," ")</f>
        <v xml:space="preserve"> </v>
      </c>
      <c r="K460" s="155"/>
      <c r="L460" s="156"/>
    </row>
    <row r="461" spans="1:12" ht="14.25" customHeight="1">
      <c r="A461" s="99">
        <v>460</v>
      </c>
      <c r="B461" s="100" t="str">
        <f t="shared" si="20"/>
        <v/>
      </c>
      <c r="C461" s="151"/>
      <c r="D461" s="152"/>
      <c r="E461" s="153"/>
      <c r="F461" s="153"/>
      <c r="G461" s="154"/>
      <c r="H461" s="154"/>
      <c r="I461" s="154"/>
      <c r="J461" s="64" t="str">
        <f>IFERROR(K461*I461*VLOOKUP(C461,Mnu!$E$20:$F$37,2,FALSE)," ")</f>
        <v xml:space="preserve"> </v>
      </c>
      <c r="K461" s="155"/>
      <c r="L461" s="156"/>
    </row>
    <row r="462" spans="1:12" ht="14.25" customHeight="1">
      <c r="A462" s="99">
        <v>461</v>
      </c>
      <c r="B462" s="100" t="str">
        <f t="shared" si="20"/>
        <v/>
      </c>
      <c r="C462" s="151"/>
      <c r="D462" s="152"/>
      <c r="E462" s="153"/>
      <c r="F462" s="153"/>
      <c r="G462" s="154"/>
      <c r="H462" s="154"/>
      <c r="I462" s="154"/>
      <c r="J462" s="64" t="str">
        <f>IFERROR(K462*I462*VLOOKUP(C462,Mnu!$E$20:$F$37,2,FALSE)," ")</f>
        <v xml:space="preserve"> </v>
      </c>
      <c r="K462" s="155"/>
      <c r="L462" s="156"/>
    </row>
    <row r="463" spans="1:12" ht="14.25" customHeight="1">
      <c r="A463" s="99">
        <v>462</v>
      </c>
      <c r="B463" s="100" t="str">
        <f t="shared" si="20"/>
        <v/>
      </c>
      <c r="C463" s="151"/>
      <c r="D463" s="152"/>
      <c r="E463" s="153"/>
      <c r="F463" s="153"/>
      <c r="G463" s="154"/>
      <c r="H463" s="154"/>
      <c r="I463" s="154"/>
      <c r="J463" s="64" t="str">
        <f>IFERROR(K463*I463*VLOOKUP(C463,Mnu!$E$20:$F$37,2,FALSE)," ")</f>
        <v xml:space="preserve"> </v>
      </c>
      <c r="K463" s="155"/>
      <c r="L463" s="156"/>
    </row>
    <row r="464" spans="1:12" ht="14.25" customHeight="1">
      <c r="A464" s="99">
        <v>463</v>
      </c>
      <c r="B464" s="100" t="str">
        <f t="shared" si="20"/>
        <v/>
      </c>
      <c r="C464" s="151"/>
      <c r="D464" s="152"/>
      <c r="E464" s="153"/>
      <c r="F464" s="153"/>
      <c r="G464" s="154"/>
      <c r="H464" s="154"/>
      <c r="I464" s="154"/>
      <c r="J464" s="64" t="str">
        <f>IFERROR(K464*I464*VLOOKUP(C464,Mnu!$E$20:$F$37,2,FALSE)," ")</f>
        <v xml:space="preserve"> </v>
      </c>
      <c r="K464" s="155"/>
      <c r="L464" s="156"/>
    </row>
    <row r="465" spans="1:12" ht="14.25" customHeight="1">
      <c r="A465" s="99">
        <v>464</v>
      </c>
      <c r="B465" s="100" t="str">
        <f t="shared" si="20"/>
        <v/>
      </c>
      <c r="C465" s="151"/>
      <c r="D465" s="152"/>
      <c r="E465" s="153"/>
      <c r="F465" s="153"/>
      <c r="G465" s="154"/>
      <c r="H465" s="154"/>
      <c r="I465" s="154"/>
      <c r="J465" s="64" t="str">
        <f>IFERROR(K465*I465*VLOOKUP(C465,Mnu!$E$20:$F$37,2,FALSE)," ")</f>
        <v xml:space="preserve"> </v>
      </c>
      <c r="K465" s="155"/>
      <c r="L465" s="156"/>
    </row>
    <row r="466" spans="1:12" ht="14.25" customHeight="1">
      <c r="A466" s="99">
        <v>465</v>
      </c>
      <c r="B466" s="100" t="str">
        <f t="shared" si="20"/>
        <v/>
      </c>
      <c r="C466" s="151"/>
      <c r="D466" s="152"/>
      <c r="E466" s="153"/>
      <c r="F466" s="153"/>
      <c r="G466" s="154"/>
      <c r="H466" s="154"/>
      <c r="I466" s="154"/>
      <c r="J466" s="64" t="str">
        <f>IFERROR(K466*I466*VLOOKUP(C466,Mnu!$E$20:$F$37,2,FALSE)," ")</f>
        <v xml:space="preserve"> </v>
      </c>
      <c r="K466" s="155"/>
      <c r="L466" s="156"/>
    </row>
    <row r="467" spans="1:12" ht="14.25" customHeight="1">
      <c r="A467" s="99">
        <v>466</v>
      </c>
      <c r="B467" s="100" t="str">
        <f t="shared" si="20"/>
        <v/>
      </c>
      <c r="C467" s="151"/>
      <c r="D467" s="152"/>
      <c r="E467" s="153"/>
      <c r="F467" s="153"/>
      <c r="G467" s="154"/>
      <c r="H467" s="154"/>
      <c r="I467" s="154"/>
      <c r="J467" s="64" t="str">
        <f>IFERROR(K467*I467*VLOOKUP(C467,Mnu!$E$20:$F$37,2,FALSE)," ")</f>
        <v xml:space="preserve"> </v>
      </c>
      <c r="K467" s="155"/>
      <c r="L467" s="156"/>
    </row>
    <row r="468" spans="1:12" ht="14.25" customHeight="1">
      <c r="A468" s="99">
        <v>467</v>
      </c>
      <c r="B468" s="100" t="str">
        <f t="shared" si="20"/>
        <v/>
      </c>
      <c r="C468" s="151"/>
      <c r="D468" s="152"/>
      <c r="E468" s="153"/>
      <c r="F468" s="153"/>
      <c r="G468" s="154"/>
      <c r="H468" s="154"/>
      <c r="I468" s="154"/>
      <c r="J468" s="64" t="str">
        <f>IFERROR(K468*I468*VLOOKUP(C468,Mnu!$E$20:$F$37,2,FALSE)," ")</f>
        <v xml:space="preserve"> </v>
      </c>
      <c r="K468" s="155"/>
      <c r="L468" s="156"/>
    </row>
    <row r="469" spans="1:12" ht="14.25" customHeight="1">
      <c r="A469" s="99">
        <v>468</v>
      </c>
      <c r="B469" s="100" t="str">
        <f t="shared" si="20"/>
        <v/>
      </c>
      <c r="C469" s="151"/>
      <c r="D469" s="152"/>
      <c r="E469" s="153"/>
      <c r="F469" s="153"/>
      <c r="G469" s="154"/>
      <c r="H469" s="154"/>
      <c r="I469" s="154"/>
      <c r="J469" s="64" t="str">
        <f>IFERROR(K469*I469*VLOOKUP(C469,Mnu!$E$20:$F$37,2,FALSE)," ")</f>
        <v xml:space="preserve"> </v>
      </c>
      <c r="K469" s="155"/>
      <c r="L469" s="156"/>
    </row>
    <row r="470" spans="1:12" ht="14.25" customHeight="1">
      <c r="A470" s="99">
        <v>469</v>
      </c>
      <c r="B470" s="100" t="str">
        <f t="shared" si="20"/>
        <v/>
      </c>
      <c r="C470" s="151"/>
      <c r="D470" s="152"/>
      <c r="E470" s="153"/>
      <c r="F470" s="153"/>
      <c r="G470" s="154"/>
      <c r="H470" s="154"/>
      <c r="I470" s="154"/>
      <c r="J470" s="64" t="str">
        <f>IFERROR(K470*I470*VLOOKUP(C470,Mnu!$E$20:$F$37,2,FALSE)," ")</f>
        <v xml:space="preserve"> </v>
      </c>
      <c r="K470" s="155"/>
      <c r="L470" s="156"/>
    </row>
    <row r="471" spans="1:12" ht="14.25" customHeight="1">
      <c r="A471" s="99">
        <v>470</v>
      </c>
      <c r="B471" s="100" t="str">
        <f t="shared" si="20"/>
        <v/>
      </c>
      <c r="C471" s="151"/>
      <c r="D471" s="152"/>
      <c r="E471" s="153"/>
      <c r="F471" s="153"/>
      <c r="G471" s="154"/>
      <c r="H471" s="154"/>
      <c r="I471" s="154"/>
      <c r="J471" s="64" t="str">
        <f>IFERROR(K471*I471*VLOOKUP(C471,Mnu!$E$20:$F$37,2,FALSE)," ")</f>
        <v xml:space="preserve"> </v>
      </c>
      <c r="K471" s="155"/>
      <c r="L471" s="156"/>
    </row>
    <row r="472" spans="1:12" ht="14.25" customHeight="1">
      <c r="A472" s="99">
        <v>471</v>
      </c>
      <c r="B472" s="100" t="str">
        <f t="shared" si="20"/>
        <v/>
      </c>
      <c r="C472" s="151"/>
      <c r="D472" s="152"/>
      <c r="E472" s="153"/>
      <c r="F472" s="153"/>
      <c r="G472" s="154"/>
      <c r="H472" s="154"/>
      <c r="I472" s="154"/>
      <c r="J472" s="64" t="str">
        <f>IFERROR(K472*I472*VLOOKUP(C472,Mnu!$E$20:$F$37,2,FALSE)," ")</f>
        <v xml:space="preserve"> </v>
      </c>
      <c r="K472" s="155"/>
      <c r="L472" s="156"/>
    </row>
    <row r="473" spans="1:12" ht="14.25" customHeight="1">
      <c r="A473" s="99">
        <v>472</v>
      </c>
      <c r="B473" s="100" t="str">
        <f t="shared" si="20"/>
        <v/>
      </c>
      <c r="C473" s="151"/>
      <c r="D473" s="152"/>
      <c r="E473" s="153"/>
      <c r="F473" s="153"/>
      <c r="G473" s="154"/>
      <c r="H473" s="154"/>
      <c r="I473" s="154"/>
      <c r="J473" s="64" t="str">
        <f>IFERROR(K473*I473*VLOOKUP(C473,Mnu!$E$20:$F$37,2,FALSE)," ")</f>
        <v xml:space="preserve"> </v>
      </c>
      <c r="K473" s="155"/>
      <c r="L473" s="156"/>
    </row>
    <row r="474" spans="1:12" ht="14.25" customHeight="1">
      <c r="A474" s="99">
        <v>473</v>
      </c>
      <c r="B474" s="100" t="str">
        <f t="shared" si="20"/>
        <v/>
      </c>
      <c r="C474" s="151"/>
      <c r="D474" s="152"/>
      <c r="E474" s="153"/>
      <c r="F474" s="153"/>
      <c r="G474" s="154"/>
      <c r="H474" s="154"/>
      <c r="I474" s="154"/>
      <c r="J474" s="64" t="str">
        <f>IFERROR(K474*I474*VLOOKUP(C474,Mnu!$E$20:$F$37,2,FALSE)," ")</f>
        <v xml:space="preserve"> </v>
      </c>
      <c r="K474" s="155"/>
      <c r="L474" s="156"/>
    </row>
    <row r="475" spans="1:12" ht="14.25" customHeight="1">
      <c r="A475" s="99">
        <v>474</v>
      </c>
      <c r="B475" s="100" t="str">
        <f t="shared" si="20"/>
        <v/>
      </c>
      <c r="C475" s="151"/>
      <c r="D475" s="152"/>
      <c r="E475" s="153"/>
      <c r="F475" s="153"/>
      <c r="G475" s="154"/>
      <c r="H475" s="154"/>
      <c r="I475" s="154"/>
      <c r="J475" s="64" t="str">
        <f>IFERROR(K475*I475*VLOOKUP(C475,Mnu!$E$20:$F$37,2,FALSE)," ")</f>
        <v xml:space="preserve"> </v>
      </c>
      <c r="K475" s="155"/>
      <c r="L475" s="156"/>
    </row>
    <row r="476" spans="1:12" ht="14.25" customHeight="1">
      <c r="A476" s="99">
        <v>475</v>
      </c>
      <c r="B476" s="100" t="str">
        <f t="shared" si="20"/>
        <v/>
      </c>
      <c r="C476" s="151"/>
      <c r="D476" s="152"/>
      <c r="E476" s="153"/>
      <c r="F476" s="153"/>
      <c r="G476" s="154"/>
      <c r="H476" s="154"/>
      <c r="I476" s="154"/>
      <c r="J476" s="64" t="str">
        <f>IFERROR(K476*I476*VLOOKUP(C476,Mnu!$E$20:$F$37,2,FALSE)," ")</f>
        <v xml:space="preserve"> </v>
      </c>
      <c r="K476" s="155"/>
      <c r="L476" s="156"/>
    </row>
    <row r="477" spans="1:12" ht="14.25" customHeight="1">
      <c r="A477" s="99">
        <v>476</v>
      </c>
      <c r="B477" s="100" t="str">
        <f t="shared" si="20"/>
        <v/>
      </c>
      <c r="C477" s="151"/>
      <c r="D477" s="152"/>
      <c r="E477" s="153"/>
      <c r="F477" s="153"/>
      <c r="G477" s="154"/>
      <c r="H477" s="154"/>
      <c r="I477" s="154"/>
      <c r="J477" s="64" t="str">
        <f>IFERROR(K477*I477*VLOOKUP(C477,Mnu!$E$20:$F$37,2,FALSE)," ")</f>
        <v xml:space="preserve"> </v>
      </c>
      <c r="K477" s="155"/>
      <c r="L477" s="156"/>
    </row>
    <row r="478" spans="1:12" ht="14.25" customHeight="1">
      <c r="A478" s="99">
        <v>477</v>
      </c>
      <c r="B478" s="100" t="str">
        <f t="shared" si="20"/>
        <v/>
      </c>
      <c r="C478" s="151"/>
      <c r="D478" s="152"/>
      <c r="E478" s="153"/>
      <c r="F478" s="153"/>
      <c r="G478" s="154"/>
      <c r="H478" s="154"/>
      <c r="I478" s="154"/>
      <c r="J478" s="64" t="str">
        <f>IFERROR(K478*I478*VLOOKUP(C478,Mnu!$E$20:$F$37,2,FALSE)," ")</f>
        <v xml:space="preserve"> </v>
      </c>
      <c r="K478" s="155"/>
      <c r="L478" s="156"/>
    </row>
    <row r="479" spans="1:12" ht="14.25" customHeight="1">
      <c r="A479" s="99">
        <v>478</v>
      </c>
      <c r="B479" s="100" t="str">
        <f t="shared" si="20"/>
        <v/>
      </c>
      <c r="C479" s="151"/>
      <c r="D479" s="152"/>
      <c r="E479" s="153"/>
      <c r="F479" s="153"/>
      <c r="G479" s="154"/>
      <c r="H479" s="154"/>
      <c r="I479" s="154"/>
      <c r="J479" s="64" t="str">
        <f>IFERROR(K479*I479*VLOOKUP(C479,Mnu!$E$20:$F$37,2,FALSE)," ")</f>
        <v xml:space="preserve"> </v>
      </c>
      <c r="K479" s="155"/>
      <c r="L479" s="156"/>
    </row>
    <row r="480" spans="1:12" ht="14.25" customHeight="1">
      <c r="A480" s="99">
        <v>479</v>
      </c>
      <c r="B480" s="100" t="str">
        <f t="shared" si="20"/>
        <v/>
      </c>
      <c r="C480" s="151"/>
      <c r="D480" s="152"/>
      <c r="E480" s="153"/>
      <c r="F480" s="153"/>
      <c r="G480" s="154"/>
      <c r="H480" s="154"/>
      <c r="I480" s="154"/>
      <c r="J480" s="64" t="str">
        <f>IFERROR(K480*I480*VLOOKUP(C480,Mnu!$E$20:$F$37,2,FALSE)," ")</f>
        <v xml:space="preserve"> </v>
      </c>
      <c r="K480" s="155"/>
      <c r="L480" s="156"/>
    </row>
    <row r="481" spans="1:12" ht="14.25" customHeight="1">
      <c r="A481" s="99">
        <v>480</v>
      </c>
      <c r="B481" s="100" t="str">
        <f t="shared" si="20"/>
        <v/>
      </c>
      <c r="C481" s="151"/>
      <c r="D481" s="152"/>
      <c r="E481" s="153"/>
      <c r="F481" s="153"/>
      <c r="G481" s="154"/>
      <c r="H481" s="154"/>
      <c r="I481" s="154"/>
      <c r="J481" s="64" t="str">
        <f>IFERROR(K481*I481*VLOOKUP(C481,Mnu!$E$20:$F$37,2,FALSE)," ")</f>
        <v xml:space="preserve"> </v>
      </c>
      <c r="K481" s="155"/>
      <c r="L481" s="156"/>
    </row>
    <row r="482" spans="1:12" ht="14.25" customHeight="1">
      <c r="A482" s="99">
        <v>481</v>
      </c>
      <c r="B482" s="100" t="str">
        <f t="shared" si="20"/>
        <v/>
      </c>
      <c r="C482" s="151"/>
      <c r="D482" s="152"/>
      <c r="E482" s="153"/>
      <c r="F482" s="153"/>
      <c r="G482" s="154"/>
      <c r="H482" s="154"/>
      <c r="I482" s="154"/>
      <c r="J482" s="64" t="str">
        <f>IFERROR(K482*I482*VLOOKUP(C482,Mnu!$E$20:$F$37,2,FALSE)," ")</f>
        <v xml:space="preserve"> </v>
      </c>
      <c r="K482" s="155"/>
      <c r="L482" s="156"/>
    </row>
    <row r="483" spans="1:12" ht="14.25" customHeight="1">
      <c r="A483" s="99">
        <v>482</v>
      </c>
      <c r="B483" s="100" t="str">
        <f t="shared" si="20"/>
        <v/>
      </c>
      <c r="C483" s="151"/>
      <c r="D483" s="152"/>
      <c r="E483" s="153"/>
      <c r="F483" s="153"/>
      <c r="G483" s="154"/>
      <c r="H483" s="154"/>
      <c r="I483" s="154"/>
      <c r="J483" s="64" t="str">
        <f>IFERROR(K483*I483*VLOOKUP(C483,Mnu!$E$20:$F$37,2,FALSE)," ")</f>
        <v xml:space="preserve"> </v>
      </c>
      <c r="K483" s="155"/>
      <c r="L483" s="156"/>
    </row>
    <row r="484" spans="1:12" ht="14.25" customHeight="1">
      <c r="A484" s="99">
        <v>483</v>
      </c>
      <c r="B484" s="100" t="str">
        <f t="shared" si="20"/>
        <v/>
      </c>
      <c r="C484" s="151"/>
      <c r="D484" s="152"/>
      <c r="E484" s="153"/>
      <c r="F484" s="153"/>
      <c r="G484" s="154"/>
      <c r="H484" s="154"/>
      <c r="I484" s="154"/>
      <c r="J484" s="64" t="str">
        <f>IFERROR(K484*I484*VLOOKUP(C484,Mnu!$E$20:$F$37,2,FALSE)," ")</f>
        <v xml:space="preserve"> </v>
      </c>
      <c r="K484" s="155"/>
      <c r="L484" s="156"/>
    </row>
    <row r="485" spans="1:12" ht="14.25" customHeight="1">
      <c r="A485" s="99">
        <v>484</v>
      </c>
      <c r="B485" s="100" t="str">
        <f t="shared" si="20"/>
        <v/>
      </c>
      <c r="C485" s="151"/>
      <c r="D485" s="152"/>
      <c r="E485" s="153"/>
      <c r="F485" s="153"/>
      <c r="G485" s="154"/>
      <c r="H485" s="154"/>
      <c r="I485" s="154"/>
      <c r="J485" s="64" t="str">
        <f>IFERROR(K485*I485*VLOOKUP(C485,Mnu!$E$20:$F$37,2,FALSE)," ")</f>
        <v xml:space="preserve"> </v>
      </c>
      <c r="K485" s="155"/>
      <c r="L485" s="156"/>
    </row>
    <row r="486" spans="1:12" ht="14.25" customHeight="1">
      <c r="A486" s="99">
        <v>485</v>
      </c>
      <c r="B486" s="100" t="str">
        <f t="shared" si="20"/>
        <v/>
      </c>
      <c r="C486" s="151"/>
      <c r="D486" s="152"/>
      <c r="E486" s="153"/>
      <c r="F486" s="153"/>
      <c r="G486" s="154"/>
      <c r="H486" s="154"/>
      <c r="I486" s="154"/>
      <c r="J486" s="64" t="str">
        <f>IFERROR(K486*I486*VLOOKUP(C486,Mnu!$E$20:$F$37,2,FALSE)," ")</f>
        <v xml:space="preserve"> </v>
      </c>
      <c r="K486" s="155"/>
      <c r="L486" s="156"/>
    </row>
    <row r="487" spans="1:12" ht="14.25" customHeight="1">
      <c r="A487" s="99">
        <v>486</v>
      </c>
      <c r="B487" s="100" t="str">
        <f t="shared" si="20"/>
        <v/>
      </c>
      <c r="C487" s="151"/>
      <c r="D487" s="152"/>
      <c r="E487" s="153"/>
      <c r="F487" s="153"/>
      <c r="G487" s="154"/>
      <c r="H487" s="154"/>
      <c r="I487" s="154"/>
      <c r="J487" s="64" t="str">
        <f>IFERROR(K487*I487*VLOOKUP(C487,Mnu!$E$20:$F$37,2,FALSE)," ")</f>
        <v xml:space="preserve"> </v>
      </c>
      <c r="K487" s="155"/>
      <c r="L487" s="156"/>
    </row>
    <row r="488" spans="1:12" ht="14.25" customHeight="1">
      <c r="A488" s="99">
        <v>487</v>
      </c>
      <c r="B488" s="100" t="str">
        <f t="shared" si="20"/>
        <v/>
      </c>
      <c r="C488" s="151"/>
      <c r="D488" s="152"/>
      <c r="E488" s="153"/>
      <c r="F488" s="153"/>
      <c r="G488" s="154"/>
      <c r="H488" s="154"/>
      <c r="I488" s="154"/>
      <c r="J488" s="64" t="str">
        <f>IFERROR(K488*I488*VLOOKUP(C488,Mnu!$E$20:$F$37,2,FALSE)," ")</f>
        <v xml:space="preserve"> </v>
      </c>
      <c r="K488" s="155"/>
      <c r="L488" s="156"/>
    </row>
    <row r="489" spans="1:12" ht="14.25" customHeight="1">
      <c r="A489" s="99">
        <v>488</v>
      </c>
      <c r="B489" s="100" t="str">
        <f t="shared" si="20"/>
        <v/>
      </c>
      <c r="C489" s="151"/>
      <c r="D489" s="152"/>
      <c r="E489" s="153"/>
      <c r="F489" s="153"/>
      <c r="G489" s="154"/>
      <c r="H489" s="154"/>
      <c r="I489" s="154"/>
      <c r="J489" s="64" t="str">
        <f>IFERROR(K489*I489*VLOOKUP(C489,Mnu!$E$20:$F$37,2,FALSE)," ")</f>
        <v xml:space="preserve"> </v>
      </c>
      <c r="K489" s="155"/>
      <c r="L489" s="156"/>
    </row>
    <row r="490" spans="1:12" ht="14.25" customHeight="1">
      <c r="A490" s="99">
        <v>489</v>
      </c>
      <c r="B490" s="100" t="str">
        <f t="shared" si="20"/>
        <v/>
      </c>
      <c r="C490" s="151"/>
      <c r="D490" s="152"/>
      <c r="E490" s="153"/>
      <c r="F490" s="153"/>
      <c r="G490" s="154"/>
      <c r="H490" s="154"/>
      <c r="I490" s="154"/>
      <c r="J490" s="64" t="str">
        <f>IFERROR(K490*I490*VLOOKUP(C490,Mnu!$E$20:$F$37,2,FALSE)," ")</f>
        <v xml:space="preserve"> </v>
      </c>
      <c r="K490" s="155"/>
      <c r="L490" s="156"/>
    </row>
    <row r="491" spans="1:12" ht="14.25" customHeight="1">
      <c r="A491" s="99">
        <v>490</v>
      </c>
      <c r="B491" s="100" t="str">
        <f t="shared" si="20"/>
        <v/>
      </c>
      <c r="C491" s="151"/>
      <c r="D491" s="152"/>
      <c r="E491" s="153"/>
      <c r="F491" s="153"/>
      <c r="G491" s="154"/>
      <c r="H491" s="154"/>
      <c r="I491" s="154"/>
      <c r="J491" s="64" t="str">
        <f>IFERROR(K491*I491*VLOOKUP(C491,Mnu!$E$20:$F$37,2,FALSE)," ")</f>
        <v xml:space="preserve"> </v>
      </c>
      <c r="K491" s="155"/>
      <c r="L491" s="156"/>
    </row>
    <row r="492" spans="1:12" ht="14.25" customHeight="1">
      <c r="A492" s="99">
        <v>491</v>
      </c>
      <c r="B492" s="100" t="str">
        <f t="shared" si="20"/>
        <v/>
      </c>
      <c r="C492" s="151"/>
      <c r="D492" s="152"/>
      <c r="E492" s="153"/>
      <c r="F492" s="153"/>
      <c r="G492" s="154"/>
      <c r="H492" s="154"/>
      <c r="I492" s="154"/>
      <c r="J492" s="64" t="str">
        <f>IFERROR(K492*I492*VLOOKUP(C492,Mnu!$E$20:$F$37,2,FALSE)," ")</f>
        <v xml:space="preserve"> </v>
      </c>
      <c r="K492" s="155"/>
      <c r="L492" s="156"/>
    </row>
    <row r="493" spans="1:12" ht="14.25" customHeight="1">
      <c r="A493" s="99">
        <v>492</v>
      </c>
      <c r="B493" s="100" t="str">
        <f t="shared" si="20"/>
        <v/>
      </c>
      <c r="C493" s="151"/>
      <c r="D493" s="152"/>
      <c r="E493" s="153"/>
      <c r="F493" s="153"/>
      <c r="G493" s="154"/>
      <c r="H493" s="154"/>
      <c r="I493" s="154"/>
      <c r="J493" s="64" t="str">
        <f>IFERROR(K493*I493*VLOOKUP(C493,Mnu!$E$20:$F$37,2,FALSE)," ")</f>
        <v xml:space="preserve"> </v>
      </c>
      <c r="K493" s="155"/>
      <c r="L493" s="156"/>
    </row>
    <row r="494" spans="1:12" ht="14.25" customHeight="1">
      <c r="A494" s="99">
        <v>493</v>
      </c>
      <c r="B494" s="100" t="str">
        <f t="shared" si="20"/>
        <v/>
      </c>
      <c r="C494" s="151"/>
      <c r="D494" s="152"/>
      <c r="E494" s="153"/>
      <c r="F494" s="153"/>
      <c r="G494" s="154"/>
      <c r="H494" s="154"/>
      <c r="I494" s="154"/>
      <c r="J494" s="64" t="str">
        <f>IFERROR(K494*I494*VLOOKUP(C494,Mnu!$E$20:$F$37,2,FALSE)," ")</f>
        <v xml:space="preserve"> </v>
      </c>
      <c r="K494" s="155"/>
      <c r="L494" s="156"/>
    </row>
    <row r="495" spans="1:12" ht="14.25" customHeight="1">
      <c r="A495" s="99">
        <v>494</v>
      </c>
      <c r="B495" s="100" t="str">
        <f t="shared" si="20"/>
        <v/>
      </c>
      <c r="C495" s="151"/>
      <c r="D495" s="152"/>
      <c r="E495" s="153"/>
      <c r="F495" s="153"/>
      <c r="G495" s="154"/>
      <c r="H495" s="154"/>
      <c r="I495" s="154"/>
      <c r="J495" s="64" t="str">
        <f>IFERROR(K495*I495*VLOOKUP(C495,Mnu!$E$20:$F$37,2,FALSE)," ")</f>
        <v xml:space="preserve"> </v>
      </c>
      <c r="K495" s="155"/>
      <c r="L495" s="156"/>
    </row>
    <row r="496" spans="1:12" ht="14.25" customHeight="1">
      <c r="A496" s="99">
        <v>495</v>
      </c>
      <c r="B496" s="100" t="str">
        <f t="shared" si="20"/>
        <v/>
      </c>
      <c r="C496" s="151"/>
      <c r="D496" s="152"/>
      <c r="E496" s="153"/>
      <c r="F496" s="153"/>
      <c r="G496" s="154"/>
      <c r="H496" s="154"/>
      <c r="I496" s="154"/>
      <c r="J496" s="64" t="str">
        <f>IFERROR(K496*I496*VLOOKUP(C496,Mnu!$E$20:$F$37,2,FALSE)," ")</f>
        <v xml:space="preserve"> </v>
      </c>
      <c r="K496" s="155"/>
      <c r="L496" s="156"/>
    </row>
    <row r="497" spans="1:12" ht="14.25" customHeight="1">
      <c r="A497" s="99">
        <v>496</v>
      </c>
      <c r="B497" s="100" t="str">
        <f t="shared" si="20"/>
        <v/>
      </c>
      <c r="C497" s="151"/>
      <c r="D497" s="152"/>
      <c r="E497" s="153"/>
      <c r="F497" s="153"/>
      <c r="G497" s="154"/>
      <c r="H497" s="154"/>
      <c r="I497" s="154"/>
      <c r="J497" s="64" t="str">
        <f>IFERROR(K497*I497*VLOOKUP(C497,Mnu!$E$20:$F$37,2,FALSE)," ")</f>
        <v xml:space="preserve"> </v>
      </c>
      <c r="K497" s="155"/>
      <c r="L497" s="156"/>
    </row>
    <row r="498" spans="1:12" ht="14.25" customHeight="1">
      <c r="A498" s="99">
        <v>497</v>
      </c>
      <c r="B498" s="100" t="str">
        <f t="shared" si="20"/>
        <v/>
      </c>
      <c r="C498" s="151"/>
      <c r="D498" s="152"/>
      <c r="E498" s="153"/>
      <c r="F498" s="153"/>
      <c r="G498" s="154"/>
      <c r="H498" s="154"/>
      <c r="I498" s="154"/>
      <c r="J498" s="64" t="str">
        <f>IFERROR(K498*I498*VLOOKUP(C498,Mnu!$E$20:$F$37,2,FALSE)," ")</f>
        <v xml:space="preserve"> </v>
      </c>
      <c r="K498" s="155"/>
      <c r="L498" s="156"/>
    </row>
    <row r="499" spans="1:12" ht="14.25" customHeight="1">
      <c r="A499" s="99">
        <v>498</v>
      </c>
      <c r="B499" s="100" t="str">
        <f t="shared" si="20"/>
        <v/>
      </c>
      <c r="C499" s="151"/>
      <c r="D499" s="152"/>
      <c r="E499" s="153"/>
      <c r="F499" s="153"/>
      <c r="G499" s="154"/>
      <c r="H499" s="154"/>
      <c r="I499" s="154"/>
      <c r="J499" s="64" t="str">
        <f>IFERROR(K499*I499*VLOOKUP(C499,Mnu!$E$20:$F$37,2,FALSE)," ")</f>
        <v xml:space="preserve"> </v>
      </c>
      <c r="K499" s="155"/>
      <c r="L499" s="156"/>
    </row>
    <row r="500" spans="1:12" ht="14.25" customHeight="1">
      <c r="A500" s="99">
        <v>499</v>
      </c>
      <c r="B500" s="100" t="str">
        <f t="shared" si="20"/>
        <v/>
      </c>
      <c r="C500" s="151"/>
      <c r="D500" s="152"/>
      <c r="E500" s="153"/>
      <c r="F500" s="153"/>
      <c r="G500" s="154"/>
      <c r="H500" s="154"/>
      <c r="I500" s="154"/>
      <c r="J500" s="64" t="str">
        <f>IFERROR(K500*I500*VLOOKUP(C500,Mnu!$E$20:$F$37,2,FALSE)," ")</f>
        <v xml:space="preserve"> </v>
      </c>
      <c r="K500" s="155"/>
      <c r="L500" s="156"/>
    </row>
    <row r="501" spans="1:12">
      <c r="C501" s="157"/>
      <c r="D501" s="157"/>
      <c r="E501" s="157"/>
      <c r="F501" s="157"/>
      <c r="G501" s="157"/>
      <c r="H501" s="157"/>
      <c r="I501" s="157"/>
      <c r="J501" s="158"/>
      <c r="K501" s="159"/>
      <c r="L501" s="157"/>
    </row>
  </sheetData>
  <sheetProtection algorithmName="SHA-512" hashValue="cKYiNs/5vIvKaB87vYTnrtvY1XdhF0QAPVQIlHd1kvSC8rIeOEn+NA7EOiG1WXdo3IVt3jVmJwRBirrZENjW6g==" saltValue="oL3yoIXuhx5hY/htp5W4Qw==" spinCount="100000" sheet="1" sort="0" autoFilter="0"/>
  <autoFilter ref="A1:L500" xr:uid="{1544D6AA-C364-49A2-B080-5D794155CEB2}"/>
  <phoneticPr fontId="6" type="noConversion"/>
  <dataValidations count="2">
    <dataValidation type="list" allowBlank="1" showInputMessage="1" showErrorMessage="1" sqref="C30 C26 C22 C6 C2" xr:uid="{DCCB9CFF-23F9-454B-AA56-7D371096E673}">
      <formula1>#REF!</formula1>
    </dataValidation>
    <dataValidation type="list" allowBlank="1" showInputMessage="1" showErrorMessage="1" sqref="E152:E500" xr:uid="{303434A0-0C78-409A-911C-998DFA2199C9}">
      <formula1>"Interior, Exterior"</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3CDCC73A-9213-4E11-AD72-00C874D1DD7D}">
          <x14:formula1>
            <xm:f>Mnu!$E$20:$E$55</xm:f>
          </x14:formula1>
          <xm:sqref>C152:C500</xm:sqref>
        </x14:dataValidation>
        <x14:dataValidation type="list" allowBlank="1" showInputMessage="1" showErrorMessage="1" xr:uid="{1C01C09B-960E-447A-B7BD-31B679EA0056}">
          <x14:formula1>
            <xm:f>Mnu!$G$3:$G$4</xm:f>
          </x14:formula1>
          <xm:sqref>D152:D500</xm:sqref>
        </x14:dataValidation>
      </x14:dataValidations>
    </ext>
  </extLst>
</worksheet>
</file>

<file path=xl/worksheets/sheet11.xml><?xml version="1.0" encoding="utf-8"?>
<worksheet xmlns="http://schemas.openxmlformats.org/spreadsheetml/2006/main" xmlns:ns1="http://schemas.openxmlformats.org/markup-compatibility/2006" xmlns:ns2="http://schemas.microsoft.com/office/spreadsheetml/2014/revision" ns1:Ignorable="x14ac xr xr2 xr3" ns2:uid="{DC598376-3A36-472A-A95E-9D639376354B}">
  <sheetPr codeName="Sheet11">
    <tabColor rgb="FF9E0000"/>
  </sheetPr>
  <dimension ref="A1:L1000"/>
  <sheetViews>
    <sheetView topLeftCell="A529" zoomScale="85" zoomScaleNormal="85" workbookViewId="0">
      <selection activeCell="I2" sqref="I2"/>
    </sheetView>
  </sheetViews>
  <sheetFormatPr defaultRowHeight="15"/>
  <cols>
    <col min="1" max="1" width="69.140625" customWidth="1"/>
    <col min="3" max="3" width="17.85546875" bestFit="1" customWidth="1"/>
    <col min="4" max="4" width="58.42578125" bestFit="1" customWidth="1"/>
    <col min="5" max="5" width="10.140625" bestFit="1" customWidth="1"/>
    <col min="6" max="6" width="7.85546875" customWidth="1"/>
    <col min="7" max="7" width="15.140625" bestFit="1" customWidth="1"/>
    <col min="8" max="8" width="5" bestFit="1" customWidth="1"/>
    <col min="9" max="9" width="9.5703125" style="95" bestFit="1" customWidth="1"/>
    <col min="10" max="10" width="9.85546875" style="95" bestFit="1" customWidth="1"/>
    <col min="11" max="11" width="7" bestFit="1" customWidth="1"/>
    <col min="12" max="12" width="8.85546875" bestFit="1" customWidth="1"/>
  </cols>
  <sheetData>
    <row r="1" spans="1:12" ht="75">
      <c r="A1" s="65" t="s">
        <v>1</v>
      </c>
      <c r="B1" s="65" t="s">
        <v>83</v>
      </c>
      <c r="C1" s="65" t="s">
        <v>84</v>
      </c>
      <c r="D1" s="65" t="s">
        <v>195</v>
      </c>
      <c r="E1" s="65" t="s">
        <v>196</v>
      </c>
      <c r="F1" s="65" t="s">
        <v>85</v>
      </c>
      <c r="G1" s="65" t="s">
        <v>86</v>
      </c>
      <c r="H1" s="65" t="s">
        <v>87</v>
      </c>
      <c r="I1" s="96" t="s">
        <v>88</v>
      </c>
      <c r="J1" s="96" t="s">
        <v>197</v>
      </c>
      <c r="K1" s="65" t="s">
        <v>198</v>
      </c>
      <c r="L1" s="65" t="s">
        <v>199</v>
      </c>
    </row>
  </sheetData>
  <sheetProtection algorithmName="SHA-512" hashValue="K/SMZY11jz4XVNyBEQFQYzWnLv6gQnkopLfHDeMdMasYrsIHnhNCVh23P9USz8fX+PBqBW5ONgj2stYoN/rTSw==" saltValue="e7PXcsFp/Tm/g6tG9cquZg==" spinCount="100000" sheet="1" objects="1" scenarios="1" sort="0" autoFilter="0"/>
  <autoFilter ref="A1:L1000" ns2:uid="{DC598376-3A36-472A-A95E-9D639376354B}"/>
  <conditionalFormatting sqref="A2:A1000">
    <cfRule type="duplicateValues" dxfId="2"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2389-3B0E-4B64-8DFE-482F77B6A653}">
  <sheetPr codeName="Sheet12">
    <tabColor rgb="FF9E0000"/>
  </sheetPr>
  <dimension ref="A1:BG207"/>
  <sheetViews>
    <sheetView topLeftCell="AQ1" zoomScale="115" zoomScaleNormal="115" workbookViewId="0">
      <pane ySplit="1" topLeftCell="A134" activePane="bottomLeft" state="frozen"/>
      <selection pane="bottomLeft" activeCell="AX149" sqref="AX149:BG149"/>
    </sheetView>
  </sheetViews>
  <sheetFormatPr defaultColWidth="9.140625" defaultRowHeight="15"/>
  <cols>
    <col min="1" max="1" width="5.5703125" style="81" customWidth="1"/>
    <col min="2" max="2" width="16.85546875" style="81" customWidth="1"/>
    <col min="3" max="3" width="79.5703125" style="81" customWidth="1"/>
    <col min="4" max="4" width="14.5703125" style="81" bestFit="1" customWidth="1"/>
    <col min="5" max="5" width="36.5703125" style="81" customWidth="1"/>
    <col min="6" max="6" width="14.85546875" style="81" customWidth="1"/>
    <col min="7" max="8" width="8.5703125" style="81" customWidth="1"/>
    <col min="9" max="9" width="43" style="81" customWidth="1"/>
    <col min="10" max="10" width="8.5703125" style="81" customWidth="1"/>
    <col min="11" max="11" width="26" style="81" customWidth="1"/>
    <col min="12" max="12" width="30.5703125" style="81" customWidth="1"/>
    <col min="13" max="13" width="10.85546875" style="81" customWidth="1"/>
    <col min="14" max="14" width="31" style="81" customWidth="1"/>
    <col min="15" max="15" width="47.140625" style="81" customWidth="1"/>
    <col min="16" max="23" width="11.140625" style="81" customWidth="1"/>
    <col min="24" max="24" width="9.140625" style="81"/>
    <col min="25" max="25" width="5.5703125" style="81" customWidth="1"/>
    <col min="26" max="26" width="17.85546875" style="81" customWidth="1"/>
    <col min="27" max="27" width="52.42578125" style="81" customWidth="1"/>
    <col min="28" max="28" width="14.5703125" style="81" bestFit="1" customWidth="1"/>
    <col min="29" max="29" width="16.140625" style="81" customWidth="1"/>
    <col min="30" max="30" width="20.85546875" style="81" customWidth="1"/>
    <col min="31" max="34" width="12.140625" style="81" customWidth="1"/>
    <col min="35" max="35" width="15.42578125" style="81" customWidth="1"/>
    <col min="36" max="36" width="9.42578125" style="81" customWidth="1"/>
    <col min="37" max="37" width="6.85546875" style="81" customWidth="1"/>
    <col min="38" max="38" width="15.42578125" style="81" customWidth="1"/>
    <col min="39" max="39" width="53.140625" style="81" customWidth="1"/>
    <col min="40" max="40" width="14.5703125" style="81" bestFit="1" customWidth="1"/>
    <col min="41" max="47" width="10.42578125" style="81" customWidth="1"/>
    <col min="48" max="48" width="9.140625" style="81"/>
    <col min="49" max="49" width="6.85546875" style="81" customWidth="1"/>
    <col min="50" max="50" width="19.85546875" style="81" bestFit="1" customWidth="1"/>
    <col min="51" max="51" width="57.85546875" style="81" customWidth="1"/>
    <col min="52" max="52" width="14.5703125" style="81" bestFit="1" customWidth="1"/>
    <col min="53" max="53" width="10.85546875" style="81" customWidth="1"/>
    <col min="54" max="54" width="36.140625" style="81" customWidth="1"/>
    <col min="55" max="59" width="10.5703125" style="81" customWidth="1"/>
    <col min="60" max="16384" width="9.140625" style="81"/>
  </cols>
  <sheetData>
    <row r="1" spans="1:59" s="69" customFormat="1" ht="52.5" customHeight="1">
      <c r="A1" s="65" t="s">
        <v>83</v>
      </c>
      <c r="B1" s="65" t="s">
        <v>84</v>
      </c>
      <c r="C1" s="65" t="s">
        <v>195</v>
      </c>
      <c r="D1" s="65" t="s">
        <v>196</v>
      </c>
      <c r="E1" s="65" t="s">
        <v>85</v>
      </c>
      <c r="F1" s="65" t="s">
        <v>86</v>
      </c>
      <c r="G1" s="65" t="s">
        <v>87</v>
      </c>
      <c r="H1" s="65" t="s">
        <v>88</v>
      </c>
      <c r="I1" s="65" t="s">
        <v>197</v>
      </c>
      <c r="J1" s="65" t="s">
        <v>198</v>
      </c>
      <c r="K1" s="65" t="s">
        <v>199</v>
      </c>
      <c r="L1" s="66"/>
      <c r="M1" s="65" t="s">
        <v>83</v>
      </c>
      <c r="N1" s="67" t="s">
        <v>84</v>
      </c>
      <c r="O1" s="67" t="s">
        <v>195</v>
      </c>
      <c r="P1" s="67" t="s">
        <v>196</v>
      </c>
      <c r="Q1" s="67" t="s">
        <v>85</v>
      </c>
      <c r="R1" s="67" t="s">
        <v>86</v>
      </c>
      <c r="S1" s="67" t="s">
        <v>87</v>
      </c>
      <c r="T1" s="67" t="s">
        <v>88</v>
      </c>
      <c r="U1" s="67" t="s">
        <v>197</v>
      </c>
      <c r="V1" s="67" t="s">
        <v>198</v>
      </c>
      <c r="W1" s="67" t="s">
        <v>199</v>
      </c>
      <c r="X1" s="66" t="s">
        <v>200</v>
      </c>
      <c r="Y1" s="65" t="s">
        <v>83</v>
      </c>
      <c r="Z1" s="67" t="s">
        <v>84</v>
      </c>
      <c r="AA1" s="67" t="s">
        <v>195</v>
      </c>
      <c r="AB1" s="67" t="s">
        <v>196</v>
      </c>
      <c r="AC1" s="67" t="s">
        <v>85</v>
      </c>
      <c r="AD1" s="67" t="s">
        <v>86</v>
      </c>
      <c r="AE1" s="67" t="s">
        <v>87</v>
      </c>
      <c r="AF1" s="67" t="s">
        <v>88</v>
      </c>
      <c r="AG1" s="67" t="s">
        <v>197</v>
      </c>
      <c r="AH1" s="67" t="s">
        <v>198</v>
      </c>
      <c r="AI1" s="67" t="s">
        <v>199</v>
      </c>
      <c r="AJ1" s="68" t="s">
        <v>200</v>
      </c>
      <c r="AK1" s="65" t="s">
        <v>83</v>
      </c>
      <c r="AL1" s="67" t="s">
        <v>84</v>
      </c>
      <c r="AM1" s="67" t="s">
        <v>195</v>
      </c>
      <c r="AN1" s="67" t="s">
        <v>196</v>
      </c>
      <c r="AO1" s="67" t="s">
        <v>85</v>
      </c>
      <c r="AP1" s="67" t="s">
        <v>86</v>
      </c>
      <c r="AQ1" s="67" t="s">
        <v>87</v>
      </c>
      <c r="AR1" s="67" t="s">
        <v>88</v>
      </c>
      <c r="AS1" s="67" t="s">
        <v>197</v>
      </c>
      <c r="AT1" s="67" t="s">
        <v>198</v>
      </c>
      <c r="AU1" s="67" t="s">
        <v>199</v>
      </c>
      <c r="AV1" s="66" t="s">
        <v>200</v>
      </c>
      <c r="AW1" s="65" t="s">
        <v>83</v>
      </c>
      <c r="AX1" s="67" t="s">
        <v>84</v>
      </c>
      <c r="AY1" s="67" t="s">
        <v>195</v>
      </c>
      <c r="AZ1" s="67" t="s">
        <v>196</v>
      </c>
      <c r="BA1" s="67" t="s">
        <v>85</v>
      </c>
      <c r="BB1" s="67" t="s">
        <v>86</v>
      </c>
      <c r="BC1" s="67" t="s">
        <v>87</v>
      </c>
      <c r="BD1" s="67" t="s">
        <v>88</v>
      </c>
      <c r="BE1" s="67" t="s">
        <v>197</v>
      </c>
      <c r="BF1" s="67" t="s">
        <v>198</v>
      </c>
      <c r="BG1" s="67" t="s">
        <v>199</v>
      </c>
    </row>
    <row r="2" spans="1:59">
      <c r="A2" s="70">
        <v>1</v>
      </c>
      <c r="B2" s="70" t="s">
        <v>119</v>
      </c>
      <c r="C2" s="71" t="s">
        <v>201</v>
      </c>
      <c r="D2" s="72" t="s">
        <v>202</v>
      </c>
      <c r="E2" s="70" t="s">
        <v>94</v>
      </c>
      <c r="F2" s="70" t="s">
        <v>203</v>
      </c>
      <c r="G2" s="73">
        <v>7</v>
      </c>
      <c r="H2" s="70">
        <v>1155</v>
      </c>
      <c r="I2" s="70">
        <v>4000</v>
      </c>
      <c r="J2" s="70">
        <v>50000</v>
      </c>
      <c r="K2" s="70" t="s">
        <v>204</v>
      </c>
      <c r="L2" s="74"/>
      <c r="M2" s="75">
        <v>1</v>
      </c>
      <c r="N2" s="76" t="s">
        <v>128</v>
      </c>
      <c r="O2" s="77" t="s">
        <v>205</v>
      </c>
      <c r="P2" s="76" t="s">
        <v>202</v>
      </c>
      <c r="Q2" s="76" t="s">
        <v>104</v>
      </c>
      <c r="R2" s="78" t="s">
        <v>206</v>
      </c>
      <c r="S2" s="77">
        <v>7</v>
      </c>
      <c r="T2" s="76">
        <v>840</v>
      </c>
      <c r="U2" s="76">
        <v>3000</v>
      </c>
      <c r="V2" s="76">
        <v>15000</v>
      </c>
      <c r="W2" s="76" t="s">
        <v>204</v>
      </c>
      <c r="X2" s="74" t="s">
        <v>200</v>
      </c>
      <c r="Y2" s="75">
        <v>1</v>
      </c>
      <c r="Z2" s="79" t="s">
        <v>136</v>
      </c>
      <c r="AA2" s="79" t="s">
        <v>207</v>
      </c>
      <c r="AB2" s="76" t="s">
        <v>208</v>
      </c>
      <c r="AC2" s="76" t="s">
        <v>209</v>
      </c>
      <c r="AD2" s="76" t="s">
        <v>210</v>
      </c>
      <c r="AE2" s="76">
        <v>22</v>
      </c>
      <c r="AF2" s="76">
        <v>3300</v>
      </c>
      <c r="AG2" s="76">
        <v>4000</v>
      </c>
      <c r="AH2" s="76">
        <v>50000</v>
      </c>
      <c r="AI2" s="76" t="s">
        <v>211</v>
      </c>
      <c r="AJ2" s="74"/>
      <c r="AK2" s="75">
        <v>1</v>
      </c>
      <c r="AL2" s="76" t="s">
        <v>138</v>
      </c>
      <c r="AM2" s="79" t="s">
        <v>212</v>
      </c>
      <c r="AN2" s="76" t="s">
        <v>208</v>
      </c>
      <c r="AO2" s="76" t="s">
        <v>899</v>
      </c>
      <c r="AP2" s="76" t="s">
        <v>214</v>
      </c>
      <c r="AQ2" s="80">
        <v>6</v>
      </c>
      <c r="AR2" s="76">
        <v>750</v>
      </c>
      <c r="AS2" s="76">
        <v>3000</v>
      </c>
      <c r="AT2" s="76">
        <v>50000</v>
      </c>
      <c r="AU2" s="76" t="s">
        <v>211</v>
      </c>
      <c r="AV2" s="74"/>
      <c r="AW2" s="75">
        <v>1</v>
      </c>
      <c r="AX2" s="76" t="s">
        <v>139</v>
      </c>
      <c r="AY2" s="76" t="s">
        <v>768</v>
      </c>
      <c r="AZ2" s="76" t="s">
        <v>215</v>
      </c>
      <c r="BA2" s="78" t="s">
        <v>206</v>
      </c>
      <c r="BB2" s="78" t="s">
        <v>206</v>
      </c>
      <c r="BC2" s="76">
        <v>100</v>
      </c>
      <c r="BD2" s="76">
        <v>12000</v>
      </c>
      <c r="BE2" s="76">
        <v>6500</v>
      </c>
      <c r="BF2" s="76">
        <v>50000</v>
      </c>
      <c r="BG2" s="76" t="s">
        <v>216</v>
      </c>
    </row>
    <row r="3" spans="1:59">
      <c r="A3" s="70">
        <v>2</v>
      </c>
      <c r="B3" s="70" t="s">
        <v>119</v>
      </c>
      <c r="C3" s="71" t="s">
        <v>217</v>
      </c>
      <c r="D3" s="72" t="s">
        <v>202</v>
      </c>
      <c r="E3" s="70" t="s">
        <v>94</v>
      </c>
      <c r="F3" s="70" t="s">
        <v>203</v>
      </c>
      <c r="G3" s="73">
        <v>7</v>
      </c>
      <c r="H3" s="70">
        <v>1155</v>
      </c>
      <c r="I3" s="70">
        <v>6500</v>
      </c>
      <c r="J3" s="70">
        <v>50000</v>
      </c>
      <c r="K3" s="70" t="s">
        <v>204</v>
      </c>
      <c r="L3" s="74"/>
      <c r="M3" s="75">
        <v>2</v>
      </c>
      <c r="N3" s="76" t="s">
        <v>128</v>
      </c>
      <c r="O3" s="77" t="s">
        <v>218</v>
      </c>
      <c r="P3" s="76" t="s">
        <v>202</v>
      </c>
      <c r="Q3" s="76" t="s">
        <v>104</v>
      </c>
      <c r="R3" s="78" t="s">
        <v>206</v>
      </c>
      <c r="S3" s="77">
        <v>7</v>
      </c>
      <c r="T3" s="76">
        <v>840</v>
      </c>
      <c r="U3" s="76">
        <v>4000</v>
      </c>
      <c r="V3" s="76">
        <v>15000</v>
      </c>
      <c r="W3" s="76" t="s">
        <v>204</v>
      </c>
      <c r="X3" s="74" t="s">
        <v>200</v>
      </c>
      <c r="Y3" s="75">
        <v>2</v>
      </c>
      <c r="Z3" s="79" t="s">
        <v>136</v>
      </c>
      <c r="AA3" s="79" t="s">
        <v>219</v>
      </c>
      <c r="AB3" s="76" t="s">
        <v>208</v>
      </c>
      <c r="AC3" s="76" t="s">
        <v>209</v>
      </c>
      <c r="AD3" s="76" t="s">
        <v>210</v>
      </c>
      <c r="AE3" s="76">
        <v>22</v>
      </c>
      <c r="AF3" s="76">
        <v>3300</v>
      </c>
      <c r="AG3" s="76">
        <v>6500</v>
      </c>
      <c r="AH3" s="76">
        <v>50000</v>
      </c>
      <c r="AI3" s="76" t="s">
        <v>211</v>
      </c>
      <c r="AJ3" s="74" t="s">
        <v>200</v>
      </c>
      <c r="AK3" s="75">
        <v>2</v>
      </c>
      <c r="AL3" s="76" t="s">
        <v>138</v>
      </c>
      <c r="AM3" s="79" t="s">
        <v>220</v>
      </c>
      <c r="AN3" s="76" t="s">
        <v>208</v>
      </c>
      <c r="AO3" s="76" t="s">
        <v>899</v>
      </c>
      <c r="AP3" s="76" t="s">
        <v>214</v>
      </c>
      <c r="AQ3" s="80">
        <v>6</v>
      </c>
      <c r="AR3" s="76">
        <v>780</v>
      </c>
      <c r="AS3" s="76">
        <v>4000</v>
      </c>
      <c r="AT3" s="76">
        <v>50000</v>
      </c>
      <c r="AU3" s="76" t="s">
        <v>211</v>
      </c>
      <c r="AV3" s="74"/>
      <c r="AW3" s="75">
        <v>2</v>
      </c>
      <c r="AX3" s="76" t="s">
        <v>139</v>
      </c>
      <c r="AY3" s="76" t="s">
        <v>769</v>
      </c>
      <c r="AZ3" s="76" t="s">
        <v>215</v>
      </c>
      <c r="BA3" s="78" t="s">
        <v>206</v>
      </c>
      <c r="BB3" s="78" t="s">
        <v>206</v>
      </c>
      <c r="BC3" s="76">
        <v>150</v>
      </c>
      <c r="BD3" s="76">
        <v>18000</v>
      </c>
      <c r="BE3" s="76">
        <v>4000</v>
      </c>
      <c r="BF3" s="76">
        <v>50000</v>
      </c>
      <c r="BG3" s="76" t="s">
        <v>216</v>
      </c>
    </row>
    <row r="4" spans="1:59">
      <c r="A4" s="70">
        <v>3</v>
      </c>
      <c r="B4" s="70" t="s">
        <v>119</v>
      </c>
      <c r="C4" s="71" t="s">
        <v>221</v>
      </c>
      <c r="D4" s="72" t="s">
        <v>202</v>
      </c>
      <c r="E4" s="70" t="s">
        <v>94</v>
      </c>
      <c r="F4" s="70" t="s">
        <v>222</v>
      </c>
      <c r="G4" s="73">
        <v>10.5</v>
      </c>
      <c r="H4" s="70">
        <v>1735</v>
      </c>
      <c r="I4" s="70">
        <v>4000</v>
      </c>
      <c r="J4" s="70">
        <v>50000</v>
      </c>
      <c r="K4" s="70" t="s">
        <v>204</v>
      </c>
      <c r="L4" s="74"/>
      <c r="M4" s="75">
        <v>3</v>
      </c>
      <c r="N4" s="76" t="s">
        <v>128</v>
      </c>
      <c r="O4" s="77" t="s">
        <v>223</v>
      </c>
      <c r="P4" s="76" t="s">
        <v>202</v>
      </c>
      <c r="Q4" s="76" t="s">
        <v>104</v>
      </c>
      <c r="R4" s="78" t="s">
        <v>206</v>
      </c>
      <c r="S4" s="77">
        <v>7</v>
      </c>
      <c r="T4" s="76">
        <v>840</v>
      </c>
      <c r="U4" s="76">
        <v>6500</v>
      </c>
      <c r="V4" s="76">
        <v>15000</v>
      </c>
      <c r="W4" s="76" t="s">
        <v>204</v>
      </c>
      <c r="X4" s="74" t="s">
        <v>200</v>
      </c>
      <c r="Y4" s="75">
        <v>3</v>
      </c>
      <c r="Z4" s="79" t="s">
        <v>136</v>
      </c>
      <c r="AA4" s="79" t="s">
        <v>224</v>
      </c>
      <c r="AB4" s="76" t="s">
        <v>208</v>
      </c>
      <c r="AC4" s="76" t="s">
        <v>209</v>
      </c>
      <c r="AD4" s="76" t="s">
        <v>210</v>
      </c>
      <c r="AE4" s="76">
        <v>24</v>
      </c>
      <c r="AF4" s="76">
        <v>3600</v>
      </c>
      <c r="AG4" s="76">
        <v>3000</v>
      </c>
      <c r="AH4" s="76">
        <v>50000</v>
      </c>
      <c r="AI4" s="76" t="s">
        <v>211</v>
      </c>
      <c r="AJ4" s="74" t="s">
        <v>200</v>
      </c>
      <c r="AK4" s="75">
        <v>3</v>
      </c>
      <c r="AL4" s="76" t="s">
        <v>138</v>
      </c>
      <c r="AM4" s="79" t="s">
        <v>225</v>
      </c>
      <c r="AN4" s="76" t="s">
        <v>208</v>
      </c>
      <c r="AO4" s="76" t="s">
        <v>899</v>
      </c>
      <c r="AP4" s="76" t="s">
        <v>214</v>
      </c>
      <c r="AQ4" s="80">
        <v>6</v>
      </c>
      <c r="AR4" s="76">
        <v>780</v>
      </c>
      <c r="AS4" s="76">
        <v>6500</v>
      </c>
      <c r="AT4" s="76">
        <v>50000</v>
      </c>
      <c r="AU4" s="76" t="s">
        <v>211</v>
      </c>
      <c r="AV4" s="74"/>
      <c r="AW4" s="75">
        <v>3</v>
      </c>
      <c r="AX4" s="76" t="s">
        <v>139</v>
      </c>
      <c r="AY4" s="76" t="s">
        <v>770</v>
      </c>
      <c r="AZ4" s="76" t="s">
        <v>215</v>
      </c>
      <c r="BA4" s="78" t="s">
        <v>206</v>
      </c>
      <c r="BB4" s="78" t="s">
        <v>206</v>
      </c>
      <c r="BC4" s="76">
        <v>50</v>
      </c>
      <c r="BD4" s="76">
        <v>6000</v>
      </c>
      <c r="BE4" s="76">
        <v>4000</v>
      </c>
      <c r="BF4" s="76">
        <v>50000</v>
      </c>
      <c r="BG4" s="76" t="s">
        <v>211</v>
      </c>
    </row>
    <row r="5" spans="1:59">
      <c r="A5" s="70">
        <v>4</v>
      </c>
      <c r="B5" s="70" t="s">
        <v>119</v>
      </c>
      <c r="C5" s="71" t="s">
        <v>226</v>
      </c>
      <c r="D5" s="72" t="s">
        <v>202</v>
      </c>
      <c r="E5" s="70" t="s">
        <v>94</v>
      </c>
      <c r="F5" s="70" t="s">
        <v>222</v>
      </c>
      <c r="G5" s="73">
        <v>10.5</v>
      </c>
      <c r="H5" s="70">
        <v>1735</v>
      </c>
      <c r="I5" s="70">
        <v>6500</v>
      </c>
      <c r="J5" s="70">
        <v>50000</v>
      </c>
      <c r="K5" s="70" t="s">
        <v>204</v>
      </c>
      <c r="L5" s="74"/>
      <c r="M5" s="75">
        <v>4</v>
      </c>
      <c r="N5" s="76" t="s">
        <v>128</v>
      </c>
      <c r="O5" s="77" t="s">
        <v>227</v>
      </c>
      <c r="P5" s="76" t="s">
        <v>202</v>
      </c>
      <c r="Q5" s="76" t="s">
        <v>104</v>
      </c>
      <c r="R5" s="78" t="s">
        <v>206</v>
      </c>
      <c r="S5" s="77">
        <v>9</v>
      </c>
      <c r="T5" s="76">
        <v>1080</v>
      </c>
      <c r="U5" s="76">
        <v>3000</v>
      </c>
      <c r="V5" s="76">
        <v>15000</v>
      </c>
      <c r="W5" s="76" t="s">
        <v>204</v>
      </c>
      <c r="X5" s="74" t="s">
        <v>200</v>
      </c>
      <c r="Y5" s="75">
        <v>4</v>
      </c>
      <c r="Z5" s="79" t="s">
        <v>136</v>
      </c>
      <c r="AA5" s="79" t="s">
        <v>228</v>
      </c>
      <c r="AB5" s="76" t="s">
        <v>208</v>
      </c>
      <c r="AC5" s="76" t="s">
        <v>209</v>
      </c>
      <c r="AD5" s="76" t="s">
        <v>210</v>
      </c>
      <c r="AE5" s="76">
        <v>24</v>
      </c>
      <c r="AF5" s="76">
        <v>3840</v>
      </c>
      <c r="AG5" s="76">
        <v>4000</v>
      </c>
      <c r="AH5" s="76">
        <v>50000</v>
      </c>
      <c r="AI5" s="76" t="s">
        <v>211</v>
      </c>
      <c r="AJ5" s="74" t="s">
        <v>200</v>
      </c>
      <c r="AK5" s="75">
        <v>4</v>
      </c>
      <c r="AL5" s="76" t="s">
        <v>138</v>
      </c>
      <c r="AM5" s="79" t="s">
        <v>229</v>
      </c>
      <c r="AN5" s="76" t="s">
        <v>208</v>
      </c>
      <c r="AO5" s="76" t="s">
        <v>900</v>
      </c>
      <c r="AP5" s="76" t="s">
        <v>230</v>
      </c>
      <c r="AQ5" s="80">
        <v>9</v>
      </c>
      <c r="AR5" s="76">
        <v>1200</v>
      </c>
      <c r="AS5" s="76">
        <v>3000</v>
      </c>
      <c r="AT5" s="76">
        <v>50000</v>
      </c>
      <c r="AU5" s="76" t="s">
        <v>211</v>
      </c>
      <c r="AV5" s="74"/>
      <c r="AW5" s="75">
        <v>4</v>
      </c>
      <c r="AX5" s="76" t="s">
        <v>139</v>
      </c>
      <c r="AY5" s="76" t="s">
        <v>771</v>
      </c>
      <c r="AZ5" s="76" t="s">
        <v>215</v>
      </c>
      <c r="BA5" s="78" t="s">
        <v>206</v>
      </c>
      <c r="BB5" s="78" t="s">
        <v>206</v>
      </c>
      <c r="BC5" s="76">
        <v>70</v>
      </c>
      <c r="BD5" s="76">
        <v>8400</v>
      </c>
      <c r="BE5" s="76">
        <v>4000</v>
      </c>
      <c r="BF5" s="76">
        <v>50000</v>
      </c>
      <c r="BG5" s="76" t="s">
        <v>211</v>
      </c>
    </row>
    <row r="6" spans="1:59">
      <c r="A6" s="70">
        <v>5</v>
      </c>
      <c r="B6" s="70" t="s">
        <v>119</v>
      </c>
      <c r="C6" s="71" t="s">
        <v>231</v>
      </c>
      <c r="D6" s="72" t="s">
        <v>202</v>
      </c>
      <c r="E6" s="70" t="s">
        <v>94</v>
      </c>
      <c r="F6" s="70" t="s">
        <v>232</v>
      </c>
      <c r="G6" s="73">
        <v>14.5</v>
      </c>
      <c r="H6" s="70">
        <v>2395</v>
      </c>
      <c r="I6" s="70">
        <v>4000</v>
      </c>
      <c r="J6" s="70">
        <v>50000</v>
      </c>
      <c r="K6" s="70" t="s">
        <v>204</v>
      </c>
      <c r="L6" s="74"/>
      <c r="M6" s="75">
        <v>5</v>
      </c>
      <c r="N6" s="76" t="s">
        <v>128</v>
      </c>
      <c r="O6" s="77" t="s">
        <v>233</v>
      </c>
      <c r="P6" s="76" t="s">
        <v>202</v>
      </c>
      <c r="Q6" s="76" t="s">
        <v>104</v>
      </c>
      <c r="R6" s="78" t="s">
        <v>206</v>
      </c>
      <c r="S6" s="77">
        <v>9</v>
      </c>
      <c r="T6" s="76">
        <v>1080</v>
      </c>
      <c r="U6" s="76">
        <v>4000</v>
      </c>
      <c r="V6" s="76">
        <v>15000</v>
      </c>
      <c r="W6" s="76" t="s">
        <v>204</v>
      </c>
      <c r="X6" s="74" t="s">
        <v>200</v>
      </c>
      <c r="Y6" s="75">
        <v>5</v>
      </c>
      <c r="Z6" s="79" t="s">
        <v>136</v>
      </c>
      <c r="AA6" s="79" t="s">
        <v>234</v>
      </c>
      <c r="AB6" s="76" t="s">
        <v>208</v>
      </c>
      <c r="AC6" s="76" t="s">
        <v>209</v>
      </c>
      <c r="AD6" s="76" t="s">
        <v>210</v>
      </c>
      <c r="AE6" s="76">
        <v>24</v>
      </c>
      <c r="AF6" s="76">
        <v>3840</v>
      </c>
      <c r="AG6" s="76">
        <v>6500</v>
      </c>
      <c r="AH6" s="76">
        <v>50000</v>
      </c>
      <c r="AI6" s="76" t="s">
        <v>211</v>
      </c>
      <c r="AJ6" s="74" t="s">
        <v>200</v>
      </c>
      <c r="AK6" s="75">
        <v>5</v>
      </c>
      <c r="AL6" s="76" t="s">
        <v>138</v>
      </c>
      <c r="AM6" s="79" t="s">
        <v>235</v>
      </c>
      <c r="AN6" s="76" t="s">
        <v>208</v>
      </c>
      <c r="AO6" s="76" t="s">
        <v>900</v>
      </c>
      <c r="AP6" s="76" t="s">
        <v>230</v>
      </c>
      <c r="AQ6" s="80">
        <v>9</v>
      </c>
      <c r="AR6" s="76">
        <v>1260</v>
      </c>
      <c r="AS6" s="76">
        <v>4000</v>
      </c>
      <c r="AT6" s="76">
        <v>50000</v>
      </c>
      <c r="AU6" s="76" t="s">
        <v>211</v>
      </c>
      <c r="AV6" s="74"/>
      <c r="AW6" s="75">
        <v>5</v>
      </c>
      <c r="AX6" s="76" t="s">
        <v>127</v>
      </c>
      <c r="AY6" s="76" t="s">
        <v>236</v>
      </c>
      <c r="AZ6" s="76" t="s">
        <v>215</v>
      </c>
      <c r="BA6" s="78" t="s">
        <v>206</v>
      </c>
      <c r="BB6" s="78" t="s">
        <v>206</v>
      </c>
      <c r="BC6" s="76">
        <v>45</v>
      </c>
      <c r="BD6" s="76">
        <v>7000</v>
      </c>
      <c r="BE6" s="76">
        <v>3000</v>
      </c>
      <c r="BF6" s="76">
        <v>100000</v>
      </c>
      <c r="BG6" s="76" t="s">
        <v>211</v>
      </c>
    </row>
    <row r="7" spans="1:59">
      <c r="A7" s="70">
        <v>6</v>
      </c>
      <c r="B7" s="70" t="s">
        <v>119</v>
      </c>
      <c r="C7" s="71" t="s">
        <v>237</v>
      </c>
      <c r="D7" s="72" t="s">
        <v>202</v>
      </c>
      <c r="E7" s="70" t="s">
        <v>94</v>
      </c>
      <c r="F7" s="70" t="s">
        <v>232</v>
      </c>
      <c r="G7" s="73">
        <v>14.5</v>
      </c>
      <c r="H7" s="70">
        <v>2395</v>
      </c>
      <c r="I7" s="70">
        <v>6500</v>
      </c>
      <c r="J7" s="70">
        <v>50000</v>
      </c>
      <c r="K7" s="70" t="s">
        <v>204</v>
      </c>
      <c r="L7" s="74"/>
      <c r="M7" s="75">
        <v>6</v>
      </c>
      <c r="N7" s="76" t="s">
        <v>128</v>
      </c>
      <c r="O7" s="77" t="s">
        <v>238</v>
      </c>
      <c r="P7" s="76" t="s">
        <v>202</v>
      </c>
      <c r="Q7" s="76" t="s">
        <v>104</v>
      </c>
      <c r="R7" s="78" t="s">
        <v>206</v>
      </c>
      <c r="S7" s="77">
        <v>9</v>
      </c>
      <c r="T7" s="76">
        <v>1080</v>
      </c>
      <c r="U7" s="76">
        <v>6500</v>
      </c>
      <c r="V7" s="76">
        <v>15000</v>
      </c>
      <c r="W7" s="76" t="s">
        <v>204</v>
      </c>
      <c r="X7" s="74" t="s">
        <v>200</v>
      </c>
      <c r="Y7" s="75">
        <v>6</v>
      </c>
      <c r="Z7" s="79" t="s">
        <v>136</v>
      </c>
      <c r="AA7" s="79" t="s">
        <v>239</v>
      </c>
      <c r="AB7" s="76" t="s">
        <v>208</v>
      </c>
      <c r="AC7" s="76" t="s">
        <v>209</v>
      </c>
      <c r="AD7" s="76" t="s">
        <v>210</v>
      </c>
      <c r="AE7" s="76">
        <v>20</v>
      </c>
      <c r="AF7" s="76">
        <v>3800</v>
      </c>
      <c r="AG7" s="76">
        <v>4000</v>
      </c>
      <c r="AH7" s="76">
        <v>50000</v>
      </c>
      <c r="AI7" s="76" t="s">
        <v>204</v>
      </c>
      <c r="AJ7" s="74" t="s">
        <v>200</v>
      </c>
      <c r="AK7" s="75">
        <v>6</v>
      </c>
      <c r="AL7" s="76" t="s">
        <v>138</v>
      </c>
      <c r="AM7" s="79" t="s">
        <v>240</v>
      </c>
      <c r="AN7" s="76" t="s">
        <v>208</v>
      </c>
      <c r="AO7" s="76" t="s">
        <v>900</v>
      </c>
      <c r="AP7" s="76" t="s">
        <v>230</v>
      </c>
      <c r="AQ7" s="80">
        <v>9</v>
      </c>
      <c r="AR7" s="76">
        <v>1260</v>
      </c>
      <c r="AS7" s="76">
        <v>6500</v>
      </c>
      <c r="AT7" s="76">
        <v>50000</v>
      </c>
      <c r="AU7" s="76" t="s">
        <v>211</v>
      </c>
      <c r="AV7" s="74"/>
      <c r="AW7" s="75">
        <v>6</v>
      </c>
      <c r="AX7" s="76" t="s">
        <v>127</v>
      </c>
      <c r="AY7" s="76" t="s">
        <v>241</v>
      </c>
      <c r="AZ7" s="76" t="s">
        <v>215</v>
      </c>
      <c r="BA7" s="78" t="s">
        <v>206</v>
      </c>
      <c r="BB7" s="78" t="s">
        <v>206</v>
      </c>
      <c r="BC7" s="76">
        <v>45</v>
      </c>
      <c r="BD7" s="76">
        <v>7000</v>
      </c>
      <c r="BE7" s="76">
        <v>4000</v>
      </c>
      <c r="BF7" s="76">
        <v>100000</v>
      </c>
      <c r="BG7" s="76" t="s">
        <v>211</v>
      </c>
    </row>
    <row r="8" spans="1:59">
      <c r="A8" s="70">
        <v>7</v>
      </c>
      <c r="B8" s="70" t="s">
        <v>119</v>
      </c>
      <c r="C8" s="71" t="s">
        <v>242</v>
      </c>
      <c r="D8" s="72" t="s">
        <v>202</v>
      </c>
      <c r="E8" s="70" t="s">
        <v>94</v>
      </c>
      <c r="F8" s="70" t="s">
        <v>243</v>
      </c>
      <c r="G8" s="73">
        <v>17</v>
      </c>
      <c r="H8" s="70">
        <v>2805</v>
      </c>
      <c r="I8" s="70">
        <v>4000</v>
      </c>
      <c r="J8" s="70">
        <v>50000</v>
      </c>
      <c r="K8" s="70" t="s">
        <v>204</v>
      </c>
      <c r="L8" s="74"/>
      <c r="M8" s="75">
        <v>7</v>
      </c>
      <c r="N8" s="76" t="s">
        <v>128</v>
      </c>
      <c r="O8" s="77" t="s">
        <v>244</v>
      </c>
      <c r="P8" s="76" t="s">
        <v>202</v>
      </c>
      <c r="Q8" s="76" t="s">
        <v>104</v>
      </c>
      <c r="R8" s="78" t="s">
        <v>206</v>
      </c>
      <c r="S8" s="77">
        <v>10</v>
      </c>
      <c r="T8" s="76">
        <v>1200</v>
      </c>
      <c r="U8" s="76">
        <v>3000</v>
      </c>
      <c r="V8" s="76">
        <v>15000</v>
      </c>
      <c r="W8" s="76" t="s">
        <v>204</v>
      </c>
      <c r="X8" s="74" t="s">
        <v>200</v>
      </c>
      <c r="Y8" s="75">
        <v>7</v>
      </c>
      <c r="Z8" s="79" t="s">
        <v>136</v>
      </c>
      <c r="AA8" s="79" t="s">
        <v>245</v>
      </c>
      <c r="AB8" s="76" t="s">
        <v>208</v>
      </c>
      <c r="AC8" s="76" t="s">
        <v>209</v>
      </c>
      <c r="AD8" s="76" t="s">
        <v>210</v>
      </c>
      <c r="AE8" s="76">
        <v>20</v>
      </c>
      <c r="AF8" s="76">
        <v>3800</v>
      </c>
      <c r="AG8" s="76">
        <v>6500</v>
      </c>
      <c r="AH8" s="76">
        <v>50000</v>
      </c>
      <c r="AI8" s="76" t="s">
        <v>204</v>
      </c>
      <c r="AJ8" s="74" t="s">
        <v>200</v>
      </c>
      <c r="AK8" s="75">
        <v>7</v>
      </c>
      <c r="AL8" s="76" t="s">
        <v>138</v>
      </c>
      <c r="AM8" s="79" t="s">
        <v>246</v>
      </c>
      <c r="AN8" s="76" t="s">
        <v>208</v>
      </c>
      <c r="AO8" s="76" t="s">
        <v>900</v>
      </c>
      <c r="AP8" s="76" t="s">
        <v>230</v>
      </c>
      <c r="AQ8" s="80">
        <v>12</v>
      </c>
      <c r="AR8" s="76">
        <v>1600</v>
      </c>
      <c r="AS8" s="76">
        <v>3000</v>
      </c>
      <c r="AT8" s="76">
        <v>50000</v>
      </c>
      <c r="AU8" s="76" t="s">
        <v>211</v>
      </c>
      <c r="AV8" s="74"/>
      <c r="AW8" s="75">
        <v>7</v>
      </c>
      <c r="AX8" s="76" t="s">
        <v>127</v>
      </c>
      <c r="AY8" s="76" t="s">
        <v>247</v>
      </c>
      <c r="AZ8" s="76" t="s">
        <v>215</v>
      </c>
      <c r="BA8" s="78" t="s">
        <v>206</v>
      </c>
      <c r="BB8" s="78" t="s">
        <v>206</v>
      </c>
      <c r="BC8" s="76">
        <v>45</v>
      </c>
      <c r="BD8" s="76">
        <v>7000</v>
      </c>
      <c r="BE8" s="76">
        <v>6500</v>
      </c>
      <c r="BF8" s="76">
        <v>100000</v>
      </c>
      <c r="BG8" s="76" t="s">
        <v>211</v>
      </c>
    </row>
    <row r="9" spans="1:59">
      <c r="A9" s="70">
        <v>8</v>
      </c>
      <c r="B9" s="70" t="s">
        <v>119</v>
      </c>
      <c r="C9" s="71" t="s">
        <v>248</v>
      </c>
      <c r="D9" s="72" t="s">
        <v>202</v>
      </c>
      <c r="E9" s="70" t="s">
        <v>94</v>
      </c>
      <c r="F9" s="70" t="s">
        <v>243</v>
      </c>
      <c r="G9" s="73">
        <v>17</v>
      </c>
      <c r="H9" s="70">
        <v>2805</v>
      </c>
      <c r="I9" s="70">
        <v>6500</v>
      </c>
      <c r="J9" s="70">
        <v>50000</v>
      </c>
      <c r="K9" s="70" t="s">
        <v>204</v>
      </c>
      <c r="L9" s="74"/>
      <c r="M9" s="75">
        <v>8</v>
      </c>
      <c r="N9" s="76" t="s">
        <v>128</v>
      </c>
      <c r="O9" s="77" t="s">
        <v>249</v>
      </c>
      <c r="P9" s="76" t="s">
        <v>202</v>
      </c>
      <c r="Q9" s="76" t="s">
        <v>104</v>
      </c>
      <c r="R9" s="78" t="s">
        <v>206</v>
      </c>
      <c r="S9" s="77">
        <v>10</v>
      </c>
      <c r="T9" s="76">
        <v>1200</v>
      </c>
      <c r="U9" s="76">
        <v>4000</v>
      </c>
      <c r="V9" s="76">
        <v>15000</v>
      </c>
      <c r="W9" s="76" t="s">
        <v>204</v>
      </c>
      <c r="X9" s="74" t="s">
        <v>200</v>
      </c>
      <c r="Y9" s="75">
        <v>8</v>
      </c>
      <c r="Z9" s="79" t="s">
        <v>136</v>
      </c>
      <c r="AA9" s="79" t="s">
        <v>250</v>
      </c>
      <c r="AB9" s="79" t="s">
        <v>208</v>
      </c>
      <c r="AC9" s="79" t="s">
        <v>209</v>
      </c>
      <c r="AD9" s="79" t="s">
        <v>210</v>
      </c>
      <c r="AE9" s="79">
        <v>28</v>
      </c>
      <c r="AF9" s="79">
        <v>3680</v>
      </c>
      <c r="AG9" s="79">
        <v>3000</v>
      </c>
      <c r="AH9" s="79">
        <v>50000</v>
      </c>
      <c r="AI9" s="79" t="s">
        <v>211</v>
      </c>
      <c r="AJ9" s="74" t="s">
        <v>200</v>
      </c>
      <c r="AK9" s="75">
        <v>8</v>
      </c>
      <c r="AL9" s="76" t="s">
        <v>138</v>
      </c>
      <c r="AM9" s="79" t="s">
        <v>251</v>
      </c>
      <c r="AN9" s="76" t="s">
        <v>208</v>
      </c>
      <c r="AO9" s="76" t="s">
        <v>900</v>
      </c>
      <c r="AP9" s="76" t="s">
        <v>230</v>
      </c>
      <c r="AQ9" s="80">
        <v>12</v>
      </c>
      <c r="AR9" s="76">
        <v>1680</v>
      </c>
      <c r="AS9" s="76">
        <v>4000</v>
      </c>
      <c r="AT9" s="76">
        <v>50000</v>
      </c>
      <c r="AU9" s="76" t="s">
        <v>211</v>
      </c>
      <c r="AV9" s="74"/>
      <c r="AW9" s="75">
        <v>8</v>
      </c>
      <c r="AX9" s="76" t="s">
        <v>127</v>
      </c>
      <c r="AY9" s="76" t="s">
        <v>252</v>
      </c>
      <c r="AZ9" s="76" t="s">
        <v>215</v>
      </c>
      <c r="BA9" s="78" t="s">
        <v>206</v>
      </c>
      <c r="BB9" s="78" t="s">
        <v>206</v>
      </c>
      <c r="BC9" s="76">
        <v>302</v>
      </c>
      <c r="BD9" s="76">
        <v>45000</v>
      </c>
      <c r="BE9" s="76">
        <v>4000</v>
      </c>
      <c r="BF9" s="76">
        <v>100000</v>
      </c>
      <c r="BG9" s="76" t="s">
        <v>216</v>
      </c>
    </row>
    <row r="10" spans="1:59">
      <c r="A10" s="70">
        <v>9</v>
      </c>
      <c r="B10" s="70" t="s">
        <v>119</v>
      </c>
      <c r="C10" s="71" t="s">
        <v>253</v>
      </c>
      <c r="D10" s="72" t="s">
        <v>202</v>
      </c>
      <c r="E10" s="70" t="s">
        <v>94</v>
      </c>
      <c r="F10" s="70" t="s">
        <v>243</v>
      </c>
      <c r="G10" s="73">
        <v>24</v>
      </c>
      <c r="H10" s="70">
        <v>3960</v>
      </c>
      <c r="I10" s="70">
        <v>4000</v>
      </c>
      <c r="J10" s="70">
        <v>50000</v>
      </c>
      <c r="K10" s="70" t="s">
        <v>204</v>
      </c>
      <c r="L10" s="74"/>
      <c r="M10" s="75">
        <v>9</v>
      </c>
      <c r="N10" s="76" t="s">
        <v>128</v>
      </c>
      <c r="O10" s="77" t="s">
        <v>254</v>
      </c>
      <c r="P10" s="76" t="s">
        <v>202</v>
      </c>
      <c r="Q10" s="76" t="s">
        <v>104</v>
      </c>
      <c r="R10" s="78" t="s">
        <v>206</v>
      </c>
      <c r="S10" s="77">
        <v>10</v>
      </c>
      <c r="T10" s="76">
        <v>1200</v>
      </c>
      <c r="U10" s="76">
        <v>6500</v>
      </c>
      <c r="V10" s="76">
        <v>15000</v>
      </c>
      <c r="W10" s="76" t="s">
        <v>204</v>
      </c>
      <c r="X10" s="74" t="s">
        <v>200</v>
      </c>
      <c r="Y10" s="75">
        <v>9</v>
      </c>
      <c r="Z10" s="79" t="s">
        <v>136</v>
      </c>
      <c r="AA10" s="79" t="s">
        <v>255</v>
      </c>
      <c r="AB10" s="79" t="s">
        <v>208</v>
      </c>
      <c r="AC10" s="79" t="s">
        <v>209</v>
      </c>
      <c r="AD10" s="79" t="s">
        <v>210</v>
      </c>
      <c r="AE10" s="79">
        <v>28</v>
      </c>
      <c r="AF10" s="79">
        <v>4000</v>
      </c>
      <c r="AG10" s="79">
        <v>4000</v>
      </c>
      <c r="AH10" s="79">
        <v>50000</v>
      </c>
      <c r="AI10" s="79" t="s">
        <v>211</v>
      </c>
      <c r="AJ10" s="74" t="s">
        <v>200</v>
      </c>
      <c r="AK10" s="75">
        <v>9</v>
      </c>
      <c r="AL10" s="76" t="s">
        <v>138</v>
      </c>
      <c r="AM10" s="79" t="s">
        <v>256</v>
      </c>
      <c r="AN10" s="76" t="s">
        <v>208</v>
      </c>
      <c r="AO10" s="76" t="s">
        <v>900</v>
      </c>
      <c r="AP10" s="76" t="s">
        <v>230</v>
      </c>
      <c r="AQ10" s="80">
        <v>12</v>
      </c>
      <c r="AR10" s="76">
        <v>1680</v>
      </c>
      <c r="AS10" s="76">
        <v>6500</v>
      </c>
      <c r="AT10" s="76">
        <v>50000</v>
      </c>
      <c r="AU10" s="76" t="s">
        <v>211</v>
      </c>
      <c r="AV10" s="74"/>
      <c r="AW10" s="75">
        <v>9</v>
      </c>
      <c r="AX10" s="76" t="s">
        <v>127</v>
      </c>
      <c r="AY10" s="76" t="s">
        <v>257</v>
      </c>
      <c r="AZ10" s="76" t="s">
        <v>215</v>
      </c>
      <c r="BA10" s="78" t="s">
        <v>206</v>
      </c>
      <c r="BB10" s="78" t="s">
        <v>206</v>
      </c>
      <c r="BC10" s="76">
        <v>26</v>
      </c>
      <c r="BD10" s="76">
        <v>3750</v>
      </c>
      <c r="BE10" s="76">
        <v>4000</v>
      </c>
      <c r="BF10" s="76">
        <v>100000</v>
      </c>
      <c r="BG10" s="76" t="s">
        <v>216</v>
      </c>
    </row>
    <row r="11" spans="1:59">
      <c r="A11" s="70">
        <v>10</v>
      </c>
      <c r="B11" s="70" t="s">
        <v>119</v>
      </c>
      <c r="C11" s="71" t="s">
        <v>258</v>
      </c>
      <c r="D11" s="72" t="s">
        <v>202</v>
      </c>
      <c r="E11" s="70" t="s">
        <v>94</v>
      </c>
      <c r="F11" s="70" t="s">
        <v>243</v>
      </c>
      <c r="G11" s="73">
        <v>24</v>
      </c>
      <c r="H11" s="70">
        <v>3960</v>
      </c>
      <c r="I11" s="70">
        <v>6500</v>
      </c>
      <c r="J11" s="70">
        <v>50000</v>
      </c>
      <c r="K11" s="70" t="s">
        <v>204</v>
      </c>
      <c r="L11" s="74"/>
      <c r="M11" s="75">
        <v>10</v>
      </c>
      <c r="N11" s="76" t="s">
        <v>128</v>
      </c>
      <c r="O11" s="77" t="s">
        <v>259</v>
      </c>
      <c r="P11" s="76" t="s">
        <v>202</v>
      </c>
      <c r="Q11" s="76" t="s">
        <v>104</v>
      </c>
      <c r="R11" s="78" t="s">
        <v>206</v>
      </c>
      <c r="S11" s="77">
        <v>12</v>
      </c>
      <c r="T11" s="76">
        <v>1440</v>
      </c>
      <c r="U11" s="76">
        <v>3000</v>
      </c>
      <c r="V11" s="76">
        <v>15000</v>
      </c>
      <c r="W11" s="76" t="s">
        <v>204</v>
      </c>
      <c r="X11" s="74" t="s">
        <v>200</v>
      </c>
      <c r="Y11" s="75">
        <v>10</v>
      </c>
      <c r="Z11" s="79" t="s">
        <v>136</v>
      </c>
      <c r="AA11" s="79" t="s">
        <v>260</v>
      </c>
      <c r="AB11" s="79" t="s">
        <v>208</v>
      </c>
      <c r="AC11" s="79" t="s">
        <v>209</v>
      </c>
      <c r="AD11" s="79" t="s">
        <v>210</v>
      </c>
      <c r="AE11" s="79">
        <v>28</v>
      </c>
      <c r="AF11" s="79">
        <v>4000</v>
      </c>
      <c r="AG11" s="79">
        <v>6500</v>
      </c>
      <c r="AH11" s="79">
        <v>50000</v>
      </c>
      <c r="AI11" s="79" t="s">
        <v>211</v>
      </c>
      <c r="AJ11" s="74" t="s">
        <v>200</v>
      </c>
      <c r="AK11" s="75">
        <v>10</v>
      </c>
      <c r="AL11" s="76" t="s">
        <v>138</v>
      </c>
      <c r="AM11" s="79" t="s">
        <v>261</v>
      </c>
      <c r="AN11" s="76" t="s">
        <v>208</v>
      </c>
      <c r="AO11" s="76" t="s">
        <v>901</v>
      </c>
      <c r="AP11" s="76" t="s">
        <v>262</v>
      </c>
      <c r="AQ11" s="80">
        <v>15</v>
      </c>
      <c r="AR11" s="76">
        <v>2000</v>
      </c>
      <c r="AS11" s="76">
        <v>3000</v>
      </c>
      <c r="AT11" s="76">
        <v>50000</v>
      </c>
      <c r="AU11" s="76" t="s">
        <v>211</v>
      </c>
      <c r="AV11" s="74"/>
      <c r="AW11" s="75">
        <v>10</v>
      </c>
      <c r="AX11" s="76" t="s">
        <v>127</v>
      </c>
      <c r="AY11" s="79" t="s">
        <v>263</v>
      </c>
      <c r="AZ11" s="76" t="s">
        <v>215</v>
      </c>
      <c r="BA11" s="78" t="s">
        <v>206</v>
      </c>
      <c r="BB11" s="78" t="s">
        <v>206</v>
      </c>
      <c r="BC11" s="76">
        <v>264</v>
      </c>
      <c r="BD11" s="76">
        <v>40000</v>
      </c>
      <c r="BE11" s="76">
        <v>6500</v>
      </c>
      <c r="BF11" s="76">
        <v>100000</v>
      </c>
      <c r="BG11" s="76" t="s">
        <v>211</v>
      </c>
    </row>
    <row r="12" spans="1:59">
      <c r="A12" s="70">
        <v>11</v>
      </c>
      <c r="B12" s="70" t="s">
        <v>119</v>
      </c>
      <c r="C12" s="72" t="s">
        <v>264</v>
      </c>
      <c r="D12" s="72" t="s">
        <v>202</v>
      </c>
      <c r="E12" s="70" t="s">
        <v>89</v>
      </c>
      <c r="F12" s="70" t="s">
        <v>203</v>
      </c>
      <c r="G12" s="73">
        <v>5.5</v>
      </c>
      <c r="H12" s="70">
        <v>900</v>
      </c>
      <c r="I12" s="70">
        <v>3000</v>
      </c>
      <c r="J12" s="70">
        <v>50000</v>
      </c>
      <c r="K12" s="70" t="s">
        <v>204</v>
      </c>
      <c r="L12" s="74"/>
      <c r="M12" s="75">
        <v>11</v>
      </c>
      <c r="N12" s="76" t="s">
        <v>128</v>
      </c>
      <c r="O12" s="77" t="s">
        <v>265</v>
      </c>
      <c r="P12" s="76" t="s">
        <v>202</v>
      </c>
      <c r="Q12" s="76" t="s">
        <v>104</v>
      </c>
      <c r="R12" s="78" t="s">
        <v>206</v>
      </c>
      <c r="S12" s="77">
        <v>12</v>
      </c>
      <c r="T12" s="76">
        <v>1440</v>
      </c>
      <c r="U12" s="76">
        <v>4000</v>
      </c>
      <c r="V12" s="76">
        <v>15000</v>
      </c>
      <c r="W12" s="76" t="s">
        <v>204</v>
      </c>
      <c r="X12" s="74" t="s">
        <v>200</v>
      </c>
      <c r="Y12" s="75">
        <v>11</v>
      </c>
      <c r="Z12" s="79" t="s">
        <v>136</v>
      </c>
      <c r="AA12" s="79" t="s">
        <v>266</v>
      </c>
      <c r="AB12" s="79" t="s">
        <v>267</v>
      </c>
      <c r="AC12" s="79" t="s">
        <v>268</v>
      </c>
      <c r="AD12" s="79" t="s">
        <v>269</v>
      </c>
      <c r="AE12" s="79">
        <v>36</v>
      </c>
      <c r="AF12" s="79">
        <v>4000</v>
      </c>
      <c r="AG12" s="79">
        <v>4000</v>
      </c>
      <c r="AH12" s="79">
        <v>50000</v>
      </c>
      <c r="AI12" s="79" t="s">
        <v>270</v>
      </c>
      <c r="AJ12" s="74" t="s">
        <v>200</v>
      </c>
      <c r="AK12" s="75">
        <v>11</v>
      </c>
      <c r="AL12" s="76" t="s">
        <v>138</v>
      </c>
      <c r="AM12" s="79" t="s">
        <v>271</v>
      </c>
      <c r="AN12" s="76" t="s">
        <v>208</v>
      </c>
      <c r="AO12" s="76" t="s">
        <v>901</v>
      </c>
      <c r="AP12" s="76" t="s">
        <v>262</v>
      </c>
      <c r="AQ12" s="80">
        <v>15</v>
      </c>
      <c r="AR12" s="76">
        <v>2100</v>
      </c>
      <c r="AS12" s="76">
        <v>4000</v>
      </c>
      <c r="AT12" s="76">
        <v>50000</v>
      </c>
      <c r="AU12" s="76" t="s">
        <v>211</v>
      </c>
      <c r="AV12" s="74"/>
      <c r="AW12" s="75">
        <v>11</v>
      </c>
      <c r="AX12" s="76" t="s">
        <v>127</v>
      </c>
      <c r="AY12" s="76" t="s">
        <v>272</v>
      </c>
      <c r="AZ12" s="76" t="s">
        <v>215</v>
      </c>
      <c r="BA12" s="78" t="s">
        <v>206</v>
      </c>
      <c r="BB12" s="78" t="s">
        <v>206</v>
      </c>
      <c r="BC12" s="76">
        <v>102</v>
      </c>
      <c r="BD12" s="76">
        <v>15000</v>
      </c>
      <c r="BE12" s="76">
        <v>3000</v>
      </c>
      <c r="BF12" s="76">
        <v>100000</v>
      </c>
      <c r="BG12" s="76" t="s">
        <v>211</v>
      </c>
    </row>
    <row r="13" spans="1:59">
      <c r="A13" s="70">
        <v>12</v>
      </c>
      <c r="B13" s="70" t="s">
        <v>119</v>
      </c>
      <c r="C13" s="72" t="s">
        <v>273</v>
      </c>
      <c r="D13" s="72" t="s">
        <v>202</v>
      </c>
      <c r="E13" s="70" t="s">
        <v>89</v>
      </c>
      <c r="F13" s="70" t="s">
        <v>203</v>
      </c>
      <c r="G13" s="73">
        <v>5.5</v>
      </c>
      <c r="H13" s="70">
        <v>1000</v>
      </c>
      <c r="I13" s="70">
        <v>4000</v>
      </c>
      <c r="J13" s="70">
        <v>50000</v>
      </c>
      <c r="K13" s="70" t="s">
        <v>204</v>
      </c>
      <c r="L13" s="74"/>
      <c r="M13" s="75">
        <v>12</v>
      </c>
      <c r="N13" s="76" t="s">
        <v>128</v>
      </c>
      <c r="O13" s="77" t="s">
        <v>274</v>
      </c>
      <c r="P13" s="76" t="s">
        <v>202</v>
      </c>
      <c r="Q13" s="76" t="s">
        <v>104</v>
      </c>
      <c r="R13" s="78" t="s">
        <v>206</v>
      </c>
      <c r="S13" s="77">
        <v>12</v>
      </c>
      <c r="T13" s="76">
        <v>1440</v>
      </c>
      <c r="U13" s="76">
        <v>6500</v>
      </c>
      <c r="V13" s="76">
        <v>15000</v>
      </c>
      <c r="W13" s="76" t="s">
        <v>204</v>
      </c>
      <c r="X13" s="74" t="s">
        <v>200</v>
      </c>
      <c r="Y13" s="75">
        <v>12</v>
      </c>
      <c r="Z13" s="79" t="s">
        <v>136</v>
      </c>
      <c r="AA13" s="79" t="s">
        <v>275</v>
      </c>
      <c r="AB13" s="79" t="s">
        <v>267</v>
      </c>
      <c r="AC13" s="79" t="s">
        <v>268</v>
      </c>
      <c r="AD13" s="79" t="s">
        <v>269</v>
      </c>
      <c r="AE13" s="79">
        <v>36</v>
      </c>
      <c r="AF13" s="79">
        <v>4000</v>
      </c>
      <c r="AG13" s="79">
        <v>6500</v>
      </c>
      <c r="AH13" s="79">
        <v>50000</v>
      </c>
      <c r="AI13" s="79" t="s">
        <v>270</v>
      </c>
      <c r="AJ13" s="74" t="s">
        <v>200</v>
      </c>
      <c r="AK13" s="75">
        <v>12</v>
      </c>
      <c r="AL13" s="76" t="s">
        <v>138</v>
      </c>
      <c r="AM13" s="79" t="s">
        <v>276</v>
      </c>
      <c r="AN13" s="76" t="s">
        <v>208</v>
      </c>
      <c r="AO13" s="76" t="s">
        <v>901</v>
      </c>
      <c r="AP13" s="76" t="s">
        <v>262</v>
      </c>
      <c r="AQ13" s="80">
        <v>15</v>
      </c>
      <c r="AR13" s="76">
        <v>2100</v>
      </c>
      <c r="AS13" s="76">
        <v>6500</v>
      </c>
      <c r="AT13" s="76">
        <v>50000</v>
      </c>
      <c r="AU13" s="76" t="s">
        <v>211</v>
      </c>
      <c r="AV13" s="74"/>
      <c r="AW13" s="75">
        <v>12</v>
      </c>
      <c r="AX13" s="76" t="s">
        <v>127</v>
      </c>
      <c r="AY13" s="79" t="s">
        <v>277</v>
      </c>
      <c r="AZ13" s="76" t="s">
        <v>215</v>
      </c>
      <c r="BA13" s="78" t="s">
        <v>206</v>
      </c>
      <c r="BB13" s="78" t="s">
        <v>206</v>
      </c>
      <c r="BC13" s="76">
        <v>102</v>
      </c>
      <c r="BD13" s="76">
        <v>15000</v>
      </c>
      <c r="BE13" s="76">
        <v>4000</v>
      </c>
      <c r="BF13" s="76">
        <v>100000</v>
      </c>
      <c r="BG13" s="76" t="s">
        <v>211</v>
      </c>
    </row>
    <row r="14" spans="1:59">
      <c r="A14" s="70">
        <v>13</v>
      </c>
      <c r="B14" s="70" t="s">
        <v>119</v>
      </c>
      <c r="C14" s="72" t="s">
        <v>278</v>
      </c>
      <c r="D14" s="72" t="s">
        <v>202</v>
      </c>
      <c r="E14" s="70" t="s">
        <v>89</v>
      </c>
      <c r="F14" s="70" t="s">
        <v>203</v>
      </c>
      <c r="G14" s="73">
        <v>5.5</v>
      </c>
      <c r="H14" s="70">
        <v>1000</v>
      </c>
      <c r="I14" s="70">
        <v>6500</v>
      </c>
      <c r="J14" s="70">
        <v>50000</v>
      </c>
      <c r="K14" s="70" t="s">
        <v>204</v>
      </c>
      <c r="L14" s="74"/>
      <c r="M14" s="75">
        <v>13</v>
      </c>
      <c r="N14" s="76" t="s">
        <v>128</v>
      </c>
      <c r="O14" s="82" t="s">
        <v>279</v>
      </c>
      <c r="P14" s="76" t="s">
        <v>202</v>
      </c>
      <c r="Q14" s="76" t="s">
        <v>104</v>
      </c>
      <c r="R14" s="78" t="s">
        <v>206</v>
      </c>
      <c r="S14" s="82">
        <v>14</v>
      </c>
      <c r="T14" s="82">
        <v>1680</v>
      </c>
      <c r="U14" s="76">
        <v>3000</v>
      </c>
      <c r="V14" s="76">
        <v>15000</v>
      </c>
      <c r="W14" s="76" t="s">
        <v>204</v>
      </c>
      <c r="X14" s="74" t="s">
        <v>200</v>
      </c>
      <c r="Y14" s="75">
        <v>13</v>
      </c>
      <c r="Z14" s="79" t="s">
        <v>136</v>
      </c>
      <c r="AA14" s="79" t="s">
        <v>280</v>
      </c>
      <c r="AB14" s="79" t="s">
        <v>267</v>
      </c>
      <c r="AC14" s="79" t="s">
        <v>268</v>
      </c>
      <c r="AD14" s="79" t="s">
        <v>281</v>
      </c>
      <c r="AE14" s="79">
        <v>53</v>
      </c>
      <c r="AF14" s="79">
        <v>5380</v>
      </c>
      <c r="AG14" s="79">
        <v>3000</v>
      </c>
      <c r="AH14" s="79">
        <v>50000</v>
      </c>
      <c r="AI14" s="79" t="s">
        <v>270</v>
      </c>
      <c r="AJ14" s="74" t="s">
        <v>200</v>
      </c>
      <c r="AK14" s="75">
        <v>13</v>
      </c>
      <c r="AL14" s="76" t="s">
        <v>138</v>
      </c>
      <c r="AM14" s="79" t="s">
        <v>282</v>
      </c>
      <c r="AN14" s="76" t="s">
        <v>208</v>
      </c>
      <c r="AO14" s="76" t="s">
        <v>901</v>
      </c>
      <c r="AP14" s="76" t="s">
        <v>262</v>
      </c>
      <c r="AQ14" s="80">
        <v>18</v>
      </c>
      <c r="AR14" s="76">
        <v>2400</v>
      </c>
      <c r="AS14" s="76">
        <v>3000</v>
      </c>
      <c r="AT14" s="76">
        <v>50000</v>
      </c>
      <c r="AU14" s="76" t="s">
        <v>211</v>
      </c>
      <c r="AV14" s="74"/>
      <c r="AW14" s="75">
        <v>13</v>
      </c>
      <c r="AX14" s="76" t="s">
        <v>127</v>
      </c>
      <c r="AY14" s="76" t="s">
        <v>283</v>
      </c>
      <c r="AZ14" s="76" t="s">
        <v>215</v>
      </c>
      <c r="BA14" s="78" t="s">
        <v>206</v>
      </c>
      <c r="BB14" s="78" t="s">
        <v>206</v>
      </c>
      <c r="BC14" s="76">
        <v>102</v>
      </c>
      <c r="BD14" s="76">
        <v>15000</v>
      </c>
      <c r="BE14" s="76">
        <v>6500</v>
      </c>
      <c r="BF14" s="76">
        <v>100000</v>
      </c>
      <c r="BG14" s="76" t="s">
        <v>211</v>
      </c>
    </row>
    <row r="15" spans="1:59">
      <c r="A15" s="70">
        <v>14</v>
      </c>
      <c r="B15" s="70" t="s">
        <v>119</v>
      </c>
      <c r="C15" s="72" t="s">
        <v>284</v>
      </c>
      <c r="D15" s="72" t="s">
        <v>202</v>
      </c>
      <c r="E15" s="70" t="s">
        <v>89</v>
      </c>
      <c r="F15" s="70" t="s">
        <v>232</v>
      </c>
      <c r="G15" s="73">
        <v>9.6999999999999993</v>
      </c>
      <c r="H15" s="70">
        <v>1620</v>
      </c>
      <c r="I15" s="70">
        <v>3000</v>
      </c>
      <c r="J15" s="70">
        <v>50000</v>
      </c>
      <c r="K15" s="70" t="s">
        <v>204</v>
      </c>
      <c r="L15" s="74"/>
      <c r="M15" s="75">
        <v>14</v>
      </c>
      <c r="N15" s="76" t="s">
        <v>128</v>
      </c>
      <c r="O15" s="82" t="s">
        <v>285</v>
      </c>
      <c r="P15" s="76" t="s">
        <v>202</v>
      </c>
      <c r="Q15" s="76" t="s">
        <v>104</v>
      </c>
      <c r="R15" s="78" t="s">
        <v>206</v>
      </c>
      <c r="S15" s="82">
        <v>14</v>
      </c>
      <c r="T15" s="82">
        <v>1680</v>
      </c>
      <c r="U15" s="76">
        <v>4000</v>
      </c>
      <c r="V15" s="76">
        <v>15000</v>
      </c>
      <c r="W15" s="76" t="s">
        <v>204</v>
      </c>
      <c r="X15" s="74" t="s">
        <v>200</v>
      </c>
      <c r="Y15" s="75">
        <v>14</v>
      </c>
      <c r="Z15" s="79" t="s">
        <v>136</v>
      </c>
      <c r="AA15" s="79" t="s">
        <v>286</v>
      </c>
      <c r="AB15" s="79" t="s">
        <v>267</v>
      </c>
      <c r="AC15" s="79" t="s">
        <v>268</v>
      </c>
      <c r="AD15" s="79" t="s">
        <v>281</v>
      </c>
      <c r="AE15" s="79">
        <v>53</v>
      </c>
      <c r="AF15" s="79">
        <v>5850</v>
      </c>
      <c r="AG15" s="79">
        <v>4000</v>
      </c>
      <c r="AH15" s="79">
        <v>50000</v>
      </c>
      <c r="AI15" s="79" t="s">
        <v>270</v>
      </c>
      <c r="AJ15" s="74" t="s">
        <v>200</v>
      </c>
      <c r="AK15" s="75">
        <v>14</v>
      </c>
      <c r="AL15" s="76" t="s">
        <v>138</v>
      </c>
      <c r="AM15" s="79" t="s">
        <v>287</v>
      </c>
      <c r="AN15" s="76" t="s">
        <v>208</v>
      </c>
      <c r="AO15" s="76" t="s">
        <v>901</v>
      </c>
      <c r="AP15" s="76" t="s">
        <v>262</v>
      </c>
      <c r="AQ15" s="80">
        <v>18</v>
      </c>
      <c r="AR15" s="76">
        <v>2520</v>
      </c>
      <c r="AS15" s="76">
        <v>4000</v>
      </c>
      <c r="AT15" s="76">
        <v>50000</v>
      </c>
      <c r="AU15" s="76" t="s">
        <v>211</v>
      </c>
      <c r="AV15" s="74"/>
      <c r="AW15" s="75">
        <v>14</v>
      </c>
      <c r="AX15" s="76" t="s">
        <v>126</v>
      </c>
      <c r="AY15" s="79" t="s">
        <v>288</v>
      </c>
      <c r="AZ15" s="76" t="s">
        <v>208</v>
      </c>
      <c r="BA15" s="78" t="s">
        <v>289</v>
      </c>
      <c r="BB15" s="78" t="s">
        <v>290</v>
      </c>
      <c r="BC15" s="76">
        <v>80</v>
      </c>
      <c r="BD15" s="76">
        <v>12800</v>
      </c>
      <c r="BE15" s="76">
        <v>6500</v>
      </c>
      <c r="BF15" s="76">
        <v>100000</v>
      </c>
      <c r="BG15" s="76" t="s">
        <v>211</v>
      </c>
    </row>
    <row r="16" spans="1:59">
      <c r="A16" s="70">
        <v>15</v>
      </c>
      <c r="B16" s="70" t="s">
        <v>119</v>
      </c>
      <c r="C16" s="72" t="s">
        <v>291</v>
      </c>
      <c r="D16" s="72" t="s">
        <v>202</v>
      </c>
      <c r="E16" s="70" t="s">
        <v>89</v>
      </c>
      <c r="F16" s="70" t="s">
        <v>232</v>
      </c>
      <c r="G16" s="73">
        <v>9.6999999999999993</v>
      </c>
      <c r="H16" s="70">
        <v>1800</v>
      </c>
      <c r="I16" s="70">
        <v>4000</v>
      </c>
      <c r="J16" s="70">
        <v>50000</v>
      </c>
      <c r="K16" s="70" t="s">
        <v>204</v>
      </c>
      <c r="L16" s="74"/>
      <c r="M16" s="75">
        <v>15</v>
      </c>
      <c r="N16" s="76" t="s">
        <v>128</v>
      </c>
      <c r="O16" s="82" t="s">
        <v>292</v>
      </c>
      <c r="P16" s="76" t="s">
        <v>202</v>
      </c>
      <c r="Q16" s="76" t="s">
        <v>104</v>
      </c>
      <c r="R16" s="78" t="s">
        <v>206</v>
      </c>
      <c r="S16" s="82">
        <v>14</v>
      </c>
      <c r="T16" s="82">
        <v>1680</v>
      </c>
      <c r="U16" s="76">
        <v>6500</v>
      </c>
      <c r="V16" s="76">
        <v>15000</v>
      </c>
      <c r="W16" s="76" t="s">
        <v>204</v>
      </c>
      <c r="X16" s="74" t="s">
        <v>200</v>
      </c>
      <c r="Y16" s="75">
        <v>15</v>
      </c>
      <c r="Z16" s="79" t="s">
        <v>136</v>
      </c>
      <c r="AA16" s="79" t="s">
        <v>293</v>
      </c>
      <c r="AB16" s="79" t="s">
        <v>267</v>
      </c>
      <c r="AC16" s="79" t="s">
        <v>268</v>
      </c>
      <c r="AD16" s="79" t="s">
        <v>281</v>
      </c>
      <c r="AE16" s="79">
        <v>53</v>
      </c>
      <c r="AF16" s="79">
        <v>5850</v>
      </c>
      <c r="AG16" s="79">
        <v>6500</v>
      </c>
      <c r="AH16" s="79">
        <v>50000</v>
      </c>
      <c r="AI16" s="79" t="s">
        <v>270</v>
      </c>
      <c r="AJ16" s="74" t="s">
        <v>200</v>
      </c>
      <c r="AK16" s="75">
        <v>15</v>
      </c>
      <c r="AL16" s="79" t="s">
        <v>138</v>
      </c>
      <c r="AM16" s="79" t="s">
        <v>294</v>
      </c>
      <c r="AN16" s="79" t="s">
        <v>208</v>
      </c>
      <c r="AO16" s="79" t="s">
        <v>901</v>
      </c>
      <c r="AP16" s="79" t="s">
        <v>262</v>
      </c>
      <c r="AQ16" s="79">
        <v>18</v>
      </c>
      <c r="AR16" s="79">
        <v>2520</v>
      </c>
      <c r="AS16" s="79">
        <v>6500</v>
      </c>
      <c r="AT16" s="79">
        <v>50000</v>
      </c>
      <c r="AU16" s="79" t="s">
        <v>211</v>
      </c>
      <c r="AV16" s="74"/>
      <c r="AW16" s="75">
        <v>15</v>
      </c>
      <c r="AX16" s="76" t="s">
        <v>126</v>
      </c>
      <c r="AY16" s="79" t="s">
        <v>295</v>
      </c>
      <c r="AZ16" s="76" t="s">
        <v>208</v>
      </c>
      <c r="BA16" s="78" t="s">
        <v>289</v>
      </c>
      <c r="BB16" s="78" t="s">
        <v>290</v>
      </c>
      <c r="BC16" s="76">
        <v>100</v>
      </c>
      <c r="BD16" s="76">
        <v>16000</v>
      </c>
      <c r="BE16" s="76">
        <v>6500</v>
      </c>
      <c r="BF16" s="76">
        <v>100000</v>
      </c>
      <c r="BG16" s="76" t="s">
        <v>211</v>
      </c>
    </row>
    <row r="17" spans="1:59">
      <c r="A17" s="70">
        <v>16</v>
      </c>
      <c r="B17" s="70" t="s">
        <v>119</v>
      </c>
      <c r="C17" s="72" t="s">
        <v>296</v>
      </c>
      <c r="D17" s="72" t="s">
        <v>202</v>
      </c>
      <c r="E17" s="70" t="s">
        <v>89</v>
      </c>
      <c r="F17" s="70" t="s">
        <v>232</v>
      </c>
      <c r="G17" s="73">
        <v>9.6999999999999993</v>
      </c>
      <c r="H17" s="70">
        <v>1800</v>
      </c>
      <c r="I17" s="70">
        <v>6500</v>
      </c>
      <c r="J17" s="70">
        <v>50000</v>
      </c>
      <c r="K17" s="70" t="s">
        <v>204</v>
      </c>
      <c r="L17" s="74"/>
      <c r="M17" s="75">
        <v>16</v>
      </c>
      <c r="N17" s="76" t="s">
        <v>121</v>
      </c>
      <c r="O17" s="82" t="s">
        <v>297</v>
      </c>
      <c r="P17" s="76" t="s">
        <v>202</v>
      </c>
      <c r="Q17" s="76" t="s">
        <v>104</v>
      </c>
      <c r="R17" s="78" t="s">
        <v>206</v>
      </c>
      <c r="S17" s="82">
        <v>6</v>
      </c>
      <c r="T17" s="82">
        <v>600</v>
      </c>
      <c r="U17" s="76">
        <v>3000</v>
      </c>
      <c r="V17" s="76">
        <v>15000</v>
      </c>
      <c r="W17" s="76" t="s">
        <v>204</v>
      </c>
      <c r="X17" s="74" t="s">
        <v>200</v>
      </c>
      <c r="Y17" s="75">
        <v>16</v>
      </c>
      <c r="Z17" s="79" t="s">
        <v>137</v>
      </c>
      <c r="AA17" s="79" t="s">
        <v>298</v>
      </c>
      <c r="AB17" s="79" t="s">
        <v>267</v>
      </c>
      <c r="AC17" s="79" t="s">
        <v>213</v>
      </c>
      <c r="AD17" s="79" t="s">
        <v>299</v>
      </c>
      <c r="AE17" s="79">
        <v>23</v>
      </c>
      <c r="AF17" s="79">
        <v>1770</v>
      </c>
      <c r="AG17" s="79">
        <v>3000</v>
      </c>
      <c r="AH17" s="79">
        <v>15000</v>
      </c>
      <c r="AI17" s="79" t="s">
        <v>270</v>
      </c>
      <c r="AJ17" s="74" t="s">
        <v>200</v>
      </c>
      <c r="AK17" s="75">
        <v>16</v>
      </c>
      <c r="AL17" s="79" t="s">
        <v>138</v>
      </c>
      <c r="AM17" s="79" t="s">
        <v>300</v>
      </c>
      <c r="AN17" s="79" t="s">
        <v>301</v>
      </c>
      <c r="AO17" s="79" t="s">
        <v>901</v>
      </c>
      <c r="AP17" s="79" t="s">
        <v>262</v>
      </c>
      <c r="AQ17" s="79">
        <v>35</v>
      </c>
      <c r="AR17" s="79">
        <v>2600</v>
      </c>
      <c r="AS17" s="79">
        <v>3000</v>
      </c>
      <c r="AT17" s="79">
        <v>50000</v>
      </c>
      <c r="AU17" s="79" t="s">
        <v>270</v>
      </c>
      <c r="AV17" s="74"/>
      <c r="AW17" s="75">
        <v>16</v>
      </c>
      <c r="AX17" s="76" t="s">
        <v>126</v>
      </c>
      <c r="AY17" s="79" t="s">
        <v>302</v>
      </c>
      <c r="AZ17" s="76" t="s">
        <v>208</v>
      </c>
      <c r="BA17" s="78" t="s">
        <v>289</v>
      </c>
      <c r="BB17" s="78" t="s">
        <v>290</v>
      </c>
      <c r="BC17" s="76">
        <v>120</v>
      </c>
      <c r="BD17" s="76">
        <v>19200</v>
      </c>
      <c r="BE17" s="76">
        <v>6500</v>
      </c>
      <c r="BF17" s="76">
        <v>100000</v>
      </c>
      <c r="BG17" s="76" t="s">
        <v>211</v>
      </c>
    </row>
    <row r="18" spans="1:59">
      <c r="A18" s="70">
        <v>17</v>
      </c>
      <c r="B18" s="70" t="s">
        <v>119</v>
      </c>
      <c r="C18" s="72" t="s">
        <v>303</v>
      </c>
      <c r="D18" s="72" t="s">
        <v>202</v>
      </c>
      <c r="E18" s="70" t="s">
        <v>89</v>
      </c>
      <c r="F18" s="70" t="s">
        <v>203</v>
      </c>
      <c r="G18" s="73">
        <v>5.2</v>
      </c>
      <c r="H18" s="70">
        <v>1000</v>
      </c>
      <c r="I18" s="70">
        <v>4000</v>
      </c>
      <c r="J18" s="70">
        <v>50000</v>
      </c>
      <c r="K18" s="70" t="s">
        <v>204</v>
      </c>
      <c r="L18" s="74"/>
      <c r="M18" s="75">
        <v>17</v>
      </c>
      <c r="N18" s="72" t="s">
        <v>121</v>
      </c>
      <c r="O18" s="83" t="s">
        <v>304</v>
      </c>
      <c r="P18" s="72" t="s">
        <v>202</v>
      </c>
      <c r="Q18" s="72" t="s">
        <v>104</v>
      </c>
      <c r="R18" s="84" t="s">
        <v>206</v>
      </c>
      <c r="S18" s="83">
        <v>6</v>
      </c>
      <c r="T18" s="83">
        <v>600</v>
      </c>
      <c r="U18" s="72">
        <v>6500</v>
      </c>
      <c r="V18" s="72">
        <v>15000</v>
      </c>
      <c r="W18" s="72" t="s">
        <v>204</v>
      </c>
      <c r="X18" s="74" t="s">
        <v>200</v>
      </c>
      <c r="Y18" s="75">
        <v>17</v>
      </c>
      <c r="Z18" s="79" t="s">
        <v>137</v>
      </c>
      <c r="AA18" s="79" t="s">
        <v>305</v>
      </c>
      <c r="AB18" s="79" t="s">
        <v>267</v>
      </c>
      <c r="AC18" s="79" t="s">
        <v>213</v>
      </c>
      <c r="AD18" s="79" t="s">
        <v>299</v>
      </c>
      <c r="AE18" s="79">
        <v>23</v>
      </c>
      <c r="AF18" s="79">
        <v>1860</v>
      </c>
      <c r="AG18" s="79">
        <v>4000</v>
      </c>
      <c r="AH18" s="79">
        <v>15000</v>
      </c>
      <c r="AI18" s="79" t="s">
        <v>270</v>
      </c>
      <c r="AJ18" s="74" t="s">
        <v>200</v>
      </c>
      <c r="AK18" s="75">
        <v>17</v>
      </c>
      <c r="AL18" s="79" t="s">
        <v>138</v>
      </c>
      <c r="AM18" s="79" t="s">
        <v>306</v>
      </c>
      <c r="AN18" s="79" t="s">
        <v>301</v>
      </c>
      <c r="AO18" s="79" t="s">
        <v>901</v>
      </c>
      <c r="AP18" s="79" t="s">
        <v>262</v>
      </c>
      <c r="AQ18" s="79">
        <v>35</v>
      </c>
      <c r="AR18" s="79">
        <v>2650</v>
      </c>
      <c r="AS18" s="79">
        <v>4000</v>
      </c>
      <c r="AT18" s="79">
        <v>50000</v>
      </c>
      <c r="AU18" s="79" t="s">
        <v>270</v>
      </c>
      <c r="AV18" s="74"/>
      <c r="AW18" s="75">
        <v>17</v>
      </c>
      <c r="AX18" s="76" t="s">
        <v>126</v>
      </c>
      <c r="AY18" s="79" t="s">
        <v>307</v>
      </c>
      <c r="AZ18" s="76" t="s">
        <v>208</v>
      </c>
      <c r="BA18" s="78" t="s">
        <v>289</v>
      </c>
      <c r="BB18" s="78" t="s">
        <v>290</v>
      </c>
      <c r="BC18" s="76">
        <v>150</v>
      </c>
      <c r="BD18" s="76">
        <v>24000</v>
      </c>
      <c r="BE18" s="76">
        <v>6500</v>
      </c>
      <c r="BF18" s="76">
        <v>100000</v>
      </c>
      <c r="BG18" s="76" t="s">
        <v>211</v>
      </c>
    </row>
    <row r="19" spans="1:59">
      <c r="A19" s="70">
        <v>18</v>
      </c>
      <c r="B19" s="70" t="s">
        <v>119</v>
      </c>
      <c r="C19" s="72" t="s">
        <v>308</v>
      </c>
      <c r="D19" s="72" t="s">
        <v>202</v>
      </c>
      <c r="E19" s="70" t="s">
        <v>89</v>
      </c>
      <c r="F19" s="70" t="s">
        <v>203</v>
      </c>
      <c r="G19" s="73">
        <v>5.2</v>
      </c>
      <c r="H19" s="70">
        <v>1000</v>
      </c>
      <c r="I19" s="70">
        <v>6500</v>
      </c>
      <c r="J19" s="70">
        <v>75000</v>
      </c>
      <c r="K19" s="70" t="s">
        <v>204</v>
      </c>
      <c r="L19" s="74"/>
      <c r="M19" s="75">
        <v>18</v>
      </c>
      <c r="N19" s="72" t="s">
        <v>121</v>
      </c>
      <c r="O19" s="83" t="s">
        <v>309</v>
      </c>
      <c r="P19" s="72" t="s">
        <v>202</v>
      </c>
      <c r="Q19" s="72" t="s">
        <v>104</v>
      </c>
      <c r="R19" s="84" t="s">
        <v>206</v>
      </c>
      <c r="S19" s="83">
        <v>5</v>
      </c>
      <c r="T19" s="83">
        <v>500</v>
      </c>
      <c r="U19" s="72">
        <v>3000</v>
      </c>
      <c r="V19" s="72">
        <v>15000</v>
      </c>
      <c r="W19" s="72" t="s">
        <v>204</v>
      </c>
      <c r="X19" s="74" t="s">
        <v>200</v>
      </c>
      <c r="Y19" s="75">
        <v>18</v>
      </c>
      <c r="Z19" s="79" t="s">
        <v>137</v>
      </c>
      <c r="AA19" s="79" t="s">
        <v>310</v>
      </c>
      <c r="AB19" s="79" t="s">
        <v>267</v>
      </c>
      <c r="AC19" s="79" t="s">
        <v>213</v>
      </c>
      <c r="AD19" s="79" t="s">
        <v>299</v>
      </c>
      <c r="AE19" s="79">
        <v>23</v>
      </c>
      <c r="AF19" s="79">
        <v>1860</v>
      </c>
      <c r="AG19" s="79">
        <v>6500</v>
      </c>
      <c r="AH19" s="79">
        <v>15000</v>
      </c>
      <c r="AI19" s="79" t="s">
        <v>270</v>
      </c>
      <c r="AJ19" s="74" t="s">
        <v>200</v>
      </c>
      <c r="AK19" s="75">
        <v>18</v>
      </c>
      <c r="AL19" s="79" t="s">
        <v>138</v>
      </c>
      <c r="AM19" s="79" t="s">
        <v>311</v>
      </c>
      <c r="AN19" s="79" t="s">
        <v>301</v>
      </c>
      <c r="AO19" s="79" t="s">
        <v>901</v>
      </c>
      <c r="AP19" s="79" t="s">
        <v>262</v>
      </c>
      <c r="AQ19" s="79">
        <v>35</v>
      </c>
      <c r="AR19" s="79">
        <v>2650</v>
      </c>
      <c r="AS19" s="79">
        <v>6500</v>
      </c>
      <c r="AT19" s="79">
        <v>50000</v>
      </c>
      <c r="AU19" s="79" t="s">
        <v>270</v>
      </c>
      <c r="AV19" s="74"/>
      <c r="AW19" s="75">
        <v>18</v>
      </c>
      <c r="AX19" s="76" t="s">
        <v>126</v>
      </c>
      <c r="AY19" s="79" t="s">
        <v>312</v>
      </c>
      <c r="AZ19" s="76" t="s">
        <v>208</v>
      </c>
      <c r="BA19" s="78" t="s">
        <v>289</v>
      </c>
      <c r="BB19" s="78" t="s">
        <v>290</v>
      </c>
      <c r="BC19" s="76">
        <v>200</v>
      </c>
      <c r="BD19" s="76">
        <v>32000</v>
      </c>
      <c r="BE19" s="76">
        <v>6500</v>
      </c>
      <c r="BF19" s="76">
        <v>100000</v>
      </c>
      <c r="BG19" s="76" t="s">
        <v>211</v>
      </c>
    </row>
    <row r="20" spans="1:59">
      <c r="A20" s="70">
        <v>19</v>
      </c>
      <c r="B20" s="70" t="s">
        <v>119</v>
      </c>
      <c r="C20" s="72" t="s">
        <v>313</v>
      </c>
      <c r="D20" s="72" t="s">
        <v>202</v>
      </c>
      <c r="E20" s="70" t="s">
        <v>89</v>
      </c>
      <c r="F20" s="70" t="s">
        <v>232</v>
      </c>
      <c r="G20" s="73">
        <v>8.6999999999999993</v>
      </c>
      <c r="H20" s="70">
        <v>1800</v>
      </c>
      <c r="I20" s="70">
        <v>4000</v>
      </c>
      <c r="J20" s="70">
        <v>50000</v>
      </c>
      <c r="K20" s="70" t="s">
        <v>204</v>
      </c>
      <c r="L20" s="74"/>
      <c r="M20" s="75">
        <v>19</v>
      </c>
      <c r="N20" s="72" t="s">
        <v>121</v>
      </c>
      <c r="O20" s="83" t="s">
        <v>314</v>
      </c>
      <c r="P20" s="72" t="s">
        <v>202</v>
      </c>
      <c r="Q20" s="72" t="s">
        <v>104</v>
      </c>
      <c r="R20" s="84" t="s">
        <v>206</v>
      </c>
      <c r="S20" s="83">
        <v>5</v>
      </c>
      <c r="T20" s="83">
        <v>500</v>
      </c>
      <c r="U20" s="72">
        <v>4000</v>
      </c>
      <c r="V20" s="72">
        <v>15000</v>
      </c>
      <c r="W20" s="72" t="s">
        <v>270</v>
      </c>
      <c r="X20" s="74" t="s">
        <v>200</v>
      </c>
      <c r="Y20" s="75">
        <v>19</v>
      </c>
      <c r="Z20" s="79" t="s">
        <v>136</v>
      </c>
      <c r="AA20" s="79" t="s">
        <v>315</v>
      </c>
      <c r="AB20" s="79" t="s">
        <v>202</v>
      </c>
      <c r="AC20" s="79" t="s">
        <v>209</v>
      </c>
      <c r="AD20" s="79" t="s">
        <v>210</v>
      </c>
      <c r="AE20" s="79">
        <v>20</v>
      </c>
      <c r="AF20" s="79">
        <v>3200</v>
      </c>
      <c r="AG20" s="79">
        <v>4000</v>
      </c>
      <c r="AH20" s="79">
        <v>50000</v>
      </c>
      <c r="AI20" s="79" t="s">
        <v>204</v>
      </c>
      <c r="AJ20" s="74" t="s">
        <v>200</v>
      </c>
      <c r="AK20" s="75">
        <v>19</v>
      </c>
      <c r="AL20" s="79" t="s">
        <v>138</v>
      </c>
      <c r="AM20" s="79" t="s">
        <v>316</v>
      </c>
      <c r="AN20" s="79" t="s">
        <v>301</v>
      </c>
      <c r="AO20" s="79" t="s">
        <v>902</v>
      </c>
      <c r="AP20" s="79" t="s">
        <v>317</v>
      </c>
      <c r="AQ20" s="79">
        <v>4</v>
      </c>
      <c r="AR20" s="79">
        <v>275</v>
      </c>
      <c r="AS20" s="79">
        <v>3000</v>
      </c>
      <c r="AT20" s="79">
        <v>30000</v>
      </c>
      <c r="AU20" s="79" t="s">
        <v>270</v>
      </c>
      <c r="AV20" s="74"/>
      <c r="AW20" s="75">
        <v>19</v>
      </c>
      <c r="AX20" s="76" t="s">
        <v>126</v>
      </c>
      <c r="AY20" s="79" t="s">
        <v>318</v>
      </c>
      <c r="AZ20" s="76" t="s">
        <v>208</v>
      </c>
      <c r="BA20" s="78" t="s">
        <v>289</v>
      </c>
      <c r="BB20" s="78" t="s">
        <v>290</v>
      </c>
      <c r="BC20" s="76">
        <v>80</v>
      </c>
      <c r="BD20" s="76">
        <v>12800</v>
      </c>
      <c r="BE20" s="76">
        <v>4000</v>
      </c>
      <c r="BF20" s="76">
        <v>100000</v>
      </c>
      <c r="BG20" s="76" t="s">
        <v>211</v>
      </c>
    </row>
    <row r="21" spans="1:59">
      <c r="A21" s="70">
        <v>20</v>
      </c>
      <c r="B21" s="70" t="s">
        <v>119</v>
      </c>
      <c r="C21" s="72" t="s">
        <v>319</v>
      </c>
      <c r="D21" s="72" t="s">
        <v>202</v>
      </c>
      <c r="E21" s="70" t="s">
        <v>89</v>
      </c>
      <c r="F21" s="70" t="s">
        <v>232</v>
      </c>
      <c r="G21" s="73">
        <v>8.6999999999999993</v>
      </c>
      <c r="H21" s="70">
        <v>1800</v>
      </c>
      <c r="I21" s="70">
        <v>6500</v>
      </c>
      <c r="J21" s="70">
        <v>50000</v>
      </c>
      <c r="K21" s="70" t="s">
        <v>204</v>
      </c>
      <c r="L21" s="74"/>
      <c r="M21" s="75">
        <v>20</v>
      </c>
      <c r="N21" s="72" t="s">
        <v>121</v>
      </c>
      <c r="O21" s="83" t="s">
        <v>320</v>
      </c>
      <c r="P21" s="72" t="s">
        <v>202</v>
      </c>
      <c r="Q21" s="72" t="s">
        <v>104</v>
      </c>
      <c r="R21" s="84" t="s">
        <v>206</v>
      </c>
      <c r="S21" s="83">
        <v>5</v>
      </c>
      <c r="T21" s="83">
        <v>500</v>
      </c>
      <c r="U21" s="72">
        <v>6500</v>
      </c>
      <c r="V21" s="72">
        <v>15000</v>
      </c>
      <c r="W21" s="72" t="s">
        <v>270</v>
      </c>
      <c r="X21" s="74" t="s">
        <v>200</v>
      </c>
      <c r="Y21" s="75">
        <v>20</v>
      </c>
      <c r="Z21" s="79" t="s">
        <v>136</v>
      </c>
      <c r="AA21" s="79" t="s">
        <v>321</v>
      </c>
      <c r="AB21" s="79" t="s">
        <v>202</v>
      </c>
      <c r="AC21" s="79" t="s">
        <v>209</v>
      </c>
      <c r="AD21" s="79" t="s">
        <v>210</v>
      </c>
      <c r="AE21" s="79">
        <v>20</v>
      </c>
      <c r="AF21" s="79">
        <v>3200</v>
      </c>
      <c r="AG21" s="79">
        <v>6500</v>
      </c>
      <c r="AH21" s="79">
        <v>50000</v>
      </c>
      <c r="AI21" s="79" t="s">
        <v>204</v>
      </c>
      <c r="AJ21" s="74" t="s">
        <v>200</v>
      </c>
      <c r="AK21" s="75">
        <v>20</v>
      </c>
      <c r="AL21" s="79" t="s">
        <v>138</v>
      </c>
      <c r="AM21" s="79" t="s">
        <v>322</v>
      </c>
      <c r="AN21" s="79" t="s">
        <v>301</v>
      </c>
      <c r="AO21" s="79" t="s">
        <v>902</v>
      </c>
      <c r="AP21" s="79" t="s">
        <v>317</v>
      </c>
      <c r="AQ21" s="79">
        <v>4</v>
      </c>
      <c r="AR21" s="79">
        <v>285</v>
      </c>
      <c r="AS21" s="79">
        <v>4000</v>
      </c>
      <c r="AT21" s="79">
        <v>30000</v>
      </c>
      <c r="AU21" s="79" t="s">
        <v>270</v>
      </c>
      <c r="AV21" s="74"/>
      <c r="AW21" s="75">
        <v>20</v>
      </c>
      <c r="AX21" s="76" t="s">
        <v>126</v>
      </c>
      <c r="AY21" s="79" t="s">
        <v>323</v>
      </c>
      <c r="AZ21" s="76" t="s">
        <v>208</v>
      </c>
      <c r="BA21" s="78" t="s">
        <v>289</v>
      </c>
      <c r="BB21" s="78" t="s">
        <v>290</v>
      </c>
      <c r="BC21" s="76">
        <v>100</v>
      </c>
      <c r="BD21" s="76">
        <v>16000</v>
      </c>
      <c r="BE21" s="76">
        <v>4000</v>
      </c>
      <c r="BF21" s="76">
        <v>100000</v>
      </c>
      <c r="BG21" s="76" t="s">
        <v>211</v>
      </c>
    </row>
    <row r="22" spans="1:59">
      <c r="A22" s="70">
        <v>21</v>
      </c>
      <c r="B22" s="70" t="s">
        <v>119</v>
      </c>
      <c r="C22" s="71" t="s">
        <v>324</v>
      </c>
      <c r="D22" s="72" t="s">
        <v>202</v>
      </c>
      <c r="E22" s="70" t="s">
        <v>89</v>
      </c>
      <c r="F22" s="70" t="s">
        <v>232</v>
      </c>
      <c r="G22" s="73">
        <v>13</v>
      </c>
      <c r="H22" s="70">
        <v>2080</v>
      </c>
      <c r="I22" s="70">
        <v>3000</v>
      </c>
      <c r="J22" s="70">
        <v>50000</v>
      </c>
      <c r="K22" s="70" t="s">
        <v>204</v>
      </c>
      <c r="L22" s="74"/>
      <c r="M22" s="75">
        <v>21</v>
      </c>
      <c r="N22" s="72" t="s">
        <v>121</v>
      </c>
      <c r="O22" s="83" t="s">
        <v>325</v>
      </c>
      <c r="P22" s="72" t="s">
        <v>202</v>
      </c>
      <c r="Q22" s="72" t="s">
        <v>104</v>
      </c>
      <c r="R22" s="84" t="s">
        <v>206</v>
      </c>
      <c r="S22" s="83">
        <v>7</v>
      </c>
      <c r="T22" s="83">
        <v>700</v>
      </c>
      <c r="U22" s="72">
        <v>3000</v>
      </c>
      <c r="V22" s="72">
        <v>15000</v>
      </c>
      <c r="W22" s="72" t="s">
        <v>270</v>
      </c>
      <c r="X22" s="74" t="s">
        <v>200</v>
      </c>
      <c r="Y22" s="75">
        <v>21</v>
      </c>
      <c r="Z22" s="76" t="s">
        <v>136</v>
      </c>
      <c r="AA22" s="85" t="s">
        <v>326</v>
      </c>
      <c r="AB22" s="76" t="s">
        <v>202</v>
      </c>
      <c r="AC22" s="76" t="s">
        <v>209</v>
      </c>
      <c r="AD22" s="76" t="s">
        <v>210</v>
      </c>
      <c r="AE22" s="76">
        <v>25</v>
      </c>
      <c r="AF22" s="76">
        <v>4000</v>
      </c>
      <c r="AG22" s="76">
        <v>4000</v>
      </c>
      <c r="AH22" s="76">
        <v>50000</v>
      </c>
      <c r="AI22" s="76" t="s">
        <v>204</v>
      </c>
      <c r="AJ22" s="74" t="s">
        <v>200</v>
      </c>
      <c r="AK22" s="75">
        <v>21</v>
      </c>
      <c r="AL22" s="79" t="s">
        <v>138</v>
      </c>
      <c r="AM22" s="79" t="s">
        <v>327</v>
      </c>
      <c r="AN22" s="79" t="s">
        <v>301</v>
      </c>
      <c r="AO22" s="79" t="s">
        <v>902</v>
      </c>
      <c r="AP22" s="79" t="s">
        <v>317</v>
      </c>
      <c r="AQ22" s="79">
        <v>4</v>
      </c>
      <c r="AR22" s="79">
        <v>285</v>
      </c>
      <c r="AS22" s="79">
        <v>6500</v>
      </c>
      <c r="AT22" s="79">
        <v>30000</v>
      </c>
      <c r="AU22" s="79" t="s">
        <v>270</v>
      </c>
      <c r="AV22" s="74"/>
      <c r="AW22" s="75">
        <v>21</v>
      </c>
      <c r="AX22" s="79" t="s">
        <v>126</v>
      </c>
      <c r="AY22" s="79" t="s">
        <v>328</v>
      </c>
      <c r="AZ22" s="79" t="s">
        <v>208</v>
      </c>
      <c r="BA22" s="79" t="s">
        <v>289</v>
      </c>
      <c r="BB22" s="79" t="s">
        <v>290</v>
      </c>
      <c r="BC22" s="79">
        <v>120</v>
      </c>
      <c r="BD22" s="79">
        <v>19200</v>
      </c>
      <c r="BE22" s="79">
        <v>4000</v>
      </c>
      <c r="BF22" s="79">
        <v>100000</v>
      </c>
      <c r="BG22" s="79" t="s">
        <v>211</v>
      </c>
    </row>
    <row r="23" spans="1:59">
      <c r="A23" s="70">
        <v>22</v>
      </c>
      <c r="B23" s="70" t="s">
        <v>119</v>
      </c>
      <c r="C23" s="71" t="s">
        <v>329</v>
      </c>
      <c r="D23" s="72" t="s">
        <v>202</v>
      </c>
      <c r="E23" s="70" t="s">
        <v>89</v>
      </c>
      <c r="F23" s="70" t="s">
        <v>232</v>
      </c>
      <c r="G23" s="73">
        <v>13</v>
      </c>
      <c r="H23" s="70">
        <v>2080</v>
      </c>
      <c r="I23" s="70">
        <v>4000</v>
      </c>
      <c r="J23" s="70">
        <v>50000</v>
      </c>
      <c r="K23" s="70" t="s">
        <v>204</v>
      </c>
      <c r="L23" s="74"/>
      <c r="M23" s="75">
        <v>22</v>
      </c>
      <c r="N23" s="72" t="s">
        <v>121</v>
      </c>
      <c r="O23" s="83" t="s">
        <v>330</v>
      </c>
      <c r="P23" s="72" t="s">
        <v>202</v>
      </c>
      <c r="Q23" s="72" t="s">
        <v>104</v>
      </c>
      <c r="R23" s="84" t="s">
        <v>206</v>
      </c>
      <c r="S23" s="83">
        <v>7</v>
      </c>
      <c r="T23" s="83">
        <v>700</v>
      </c>
      <c r="U23" s="72">
        <v>4000</v>
      </c>
      <c r="V23" s="72">
        <v>15000</v>
      </c>
      <c r="W23" s="72" t="s">
        <v>270</v>
      </c>
      <c r="X23" s="74" t="s">
        <v>200</v>
      </c>
      <c r="Y23" s="75">
        <v>22</v>
      </c>
      <c r="Z23" s="76" t="s">
        <v>136</v>
      </c>
      <c r="AA23" s="85" t="s">
        <v>331</v>
      </c>
      <c r="AB23" s="76" t="s">
        <v>202</v>
      </c>
      <c r="AC23" s="76" t="s">
        <v>209</v>
      </c>
      <c r="AD23" s="76" t="s">
        <v>210</v>
      </c>
      <c r="AE23" s="76">
        <v>25</v>
      </c>
      <c r="AF23" s="76">
        <v>4000</v>
      </c>
      <c r="AG23" s="76">
        <v>6500</v>
      </c>
      <c r="AH23" s="76">
        <v>50000</v>
      </c>
      <c r="AI23" s="76" t="s">
        <v>204</v>
      </c>
      <c r="AJ23" s="74" t="s">
        <v>200</v>
      </c>
      <c r="AK23" s="75">
        <v>22</v>
      </c>
      <c r="AL23" s="79" t="s">
        <v>138</v>
      </c>
      <c r="AM23" s="79" t="s">
        <v>332</v>
      </c>
      <c r="AN23" s="79" t="s">
        <v>301</v>
      </c>
      <c r="AO23" s="79" t="s">
        <v>899</v>
      </c>
      <c r="AP23" s="79" t="s">
        <v>214</v>
      </c>
      <c r="AQ23" s="79">
        <v>9</v>
      </c>
      <c r="AR23" s="79">
        <v>650</v>
      </c>
      <c r="AS23" s="79">
        <v>3000</v>
      </c>
      <c r="AT23" s="79">
        <v>30000</v>
      </c>
      <c r="AU23" s="79" t="s">
        <v>270</v>
      </c>
      <c r="AV23" s="74"/>
      <c r="AW23" s="75">
        <v>22</v>
      </c>
      <c r="AX23" s="79" t="s">
        <v>126</v>
      </c>
      <c r="AY23" s="79" t="s">
        <v>333</v>
      </c>
      <c r="AZ23" s="79" t="s">
        <v>208</v>
      </c>
      <c r="BA23" s="79" t="s">
        <v>289</v>
      </c>
      <c r="BB23" s="79" t="s">
        <v>334</v>
      </c>
      <c r="BC23" s="79">
        <v>150</v>
      </c>
      <c r="BD23" s="79">
        <v>24000</v>
      </c>
      <c r="BE23" s="79">
        <v>4000</v>
      </c>
      <c r="BF23" s="79">
        <v>100000</v>
      </c>
      <c r="BG23" s="79" t="s">
        <v>211</v>
      </c>
    </row>
    <row r="24" spans="1:59">
      <c r="A24" s="70">
        <v>23</v>
      </c>
      <c r="B24" s="70" t="s">
        <v>119</v>
      </c>
      <c r="C24" s="71" t="s">
        <v>335</v>
      </c>
      <c r="D24" s="72" t="s">
        <v>202</v>
      </c>
      <c r="E24" s="70" t="s">
        <v>89</v>
      </c>
      <c r="F24" s="70" t="s">
        <v>232</v>
      </c>
      <c r="G24" s="73">
        <v>13</v>
      </c>
      <c r="H24" s="70">
        <v>2080</v>
      </c>
      <c r="I24" s="70">
        <v>6500</v>
      </c>
      <c r="J24" s="70">
        <v>50000</v>
      </c>
      <c r="K24" s="70" t="s">
        <v>204</v>
      </c>
      <c r="L24" s="74"/>
      <c r="M24" s="75">
        <v>23</v>
      </c>
      <c r="N24" s="72" t="s">
        <v>121</v>
      </c>
      <c r="O24" s="83" t="s">
        <v>336</v>
      </c>
      <c r="P24" s="72" t="s">
        <v>202</v>
      </c>
      <c r="Q24" s="72" t="s">
        <v>104</v>
      </c>
      <c r="R24" s="84" t="s">
        <v>206</v>
      </c>
      <c r="S24" s="83">
        <v>7</v>
      </c>
      <c r="T24" s="83">
        <v>700</v>
      </c>
      <c r="U24" s="72">
        <v>6500</v>
      </c>
      <c r="V24" s="72">
        <v>15000</v>
      </c>
      <c r="W24" s="72" t="s">
        <v>270</v>
      </c>
      <c r="X24" s="74" t="s">
        <v>200</v>
      </c>
      <c r="Y24" s="75">
        <v>23</v>
      </c>
      <c r="Z24" s="76" t="s">
        <v>136</v>
      </c>
      <c r="AA24" s="85" t="s">
        <v>337</v>
      </c>
      <c r="AB24" s="76" t="s">
        <v>202</v>
      </c>
      <c r="AC24" s="76" t="s">
        <v>209</v>
      </c>
      <c r="AD24" s="76" t="s">
        <v>210</v>
      </c>
      <c r="AE24" s="76">
        <v>23.5</v>
      </c>
      <c r="AF24" s="76">
        <v>3840</v>
      </c>
      <c r="AG24" s="76">
        <v>4000</v>
      </c>
      <c r="AH24" s="76">
        <v>50000</v>
      </c>
      <c r="AI24" s="76" t="s">
        <v>204</v>
      </c>
      <c r="AJ24" s="74" t="s">
        <v>200</v>
      </c>
      <c r="AK24" s="75">
        <v>23</v>
      </c>
      <c r="AL24" s="79" t="s">
        <v>138</v>
      </c>
      <c r="AM24" s="79" t="s">
        <v>338</v>
      </c>
      <c r="AN24" s="79" t="s">
        <v>301</v>
      </c>
      <c r="AO24" s="79" t="s">
        <v>899</v>
      </c>
      <c r="AP24" s="79" t="s">
        <v>214</v>
      </c>
      <c r="AQ24" s="79">
        <v>9</v>
      </c>
      <c r="AR24" s="79">
        <v>700</v>
      </c>
      <c r="AS24" s="79">
        <v>4000</v>
      </c>
      <c r="AT24" s="79">
        <v>30000</v>
      </c>
      <c r="AU24" s="79" t="s">
        <v>270</v>
      </c>
      <c r="AV24" s="74"/>
      <c r="AW24" s="75">
        <v>23</v>
      </c>
      <c r="AX24" s="79" t="s">
        <v>126</v>
      </c>
      <c r="AY24" s="79" t="s">
        <v>339</v>
      </c>
      <c r="AZ24" s="79" t="s">
        <v>208</v>
      </c>
      <c r="BA24" s="79" t="s">
        <v>289</v>
      </c>
      <c r="BB24" s="79" t="s">
        <v>334</v>
      </c>
      <c r="BC24" s="79">
        <v>200</v>
      </c>
      <c r="BD24" s="79">
        <v>32000</v>
      </c>
      <c r="BE24" s="79">
        <v>4000</v>
      </c>
      <c r="BF24" s="79">
        <v>100000</v>
      </c>
      <c r="BG24" s="79" t="s">
        <v>211</v>
      </c>
    </row>
    <row r="25" spans="1:59">
      <c r="A25" s="70">
        <v>24</v>
      </c>
      <c r="B25" s="70" t="s">
        <v>119</v>
      </c>
      <c r="C25" s="71" t="s">
        <v>340</v>
      </c>
      <c r="D25" s="72" t="s">
        <v>202</v>
      </c>
      <c r="E25" s="70" t="s">
        <v>89</v>
      </c>
      <c r="F25" s="70" t="s">
        <v>243</v>
      </c>
      <c r="G25" s="73">
        <v>20</v>
      </c>
      <c r="H25" s="70">
        <v>3200</v>
      </c>
      <c r="I25" s="70">
        <v>3000</v>
      </c>
      <c r="J25" s="70">
        <v>50000</v>
      </c>
      <c r="K25" s="70" t="s">
        <v>204</v>
      </c>
      <c r="L25" s="74"/>
      <c r="M25" s="75">
        <v>24</v>
      </c>
      <c r="N25" s="72" t="s">
        <v>121</v>
      </c>
      <c r="O25" s="83" t="s">
        <v>341</v>
      </c>
      <c r="P25" s="72" t="s">
        <v>202</v>
      </c>
      <c r="Q25" s="72" t="s">
        <v>104</v>
      </c>
      <c r="R25" s="84" t="s">
        <v>206</v>
      </c>
      <c r="S25" s="83">
        <v>9</v>
      </c>
      <c r="T25" s="83">
        <v>900</v>
      </c>
      <c r="U25" s="72">
        <v>3000</v>
      </c>
      <c r="V25" s="72">
        <v>15000</v>
      </c>
      <c r="W25" s="72" t="s">
        <v>270</v>
      </c>
      <c r="X25" s="74" t="s">
        <v>200</v>
      </c>
      <c r="Y25" s="75">
        <v>24</v>
      </c>
      <c r="Z25" s="76" t="s">
        <v>136</v>
      </c>
      <c r="AA25" s="85" t="s">
        <v>342</v>
      </c>
      <c r="AB25" s="76" t="s">
        <v>202</v>
      </c>
      <c r="AC25" s="76" t="s">
        <v>209</v>
      </c>
      <c r="AD25" s="76" t="s">
        <v>210</v>
      </c>
      <c r="AE25" s="76">
        <v>23.5</v>
      </c>
      <c r="AF25" s="76">
        <v>3840</v>
      </c>
      <c r="AG25" s="76">
        <v>6500</v>
      </c>
      <c r="AH25" s="76">
        <v>50000</v>
      </c>
      <c r="AI25" s="76" t="s">
        <v>204</v>
      </c>
      <c r="AJ25" s="74" t="s">
        <v>200</v>
      </c>
      <c r="AK25" s="75">
        <v>24</v>
      </c>
      <c r="AL25" s="79" t="s">
        <v>138</v>
      </c>
      <c r="AM25" s="79" t="s">
        <v>343</v>
      </c>
      <c r="AN25" s="79" t="s">
        <v>301</v>
      </c>
      <c r="AO25" s="79" t="s">
        <v>899</v>
      </c>
      <c r="AP25" s="79" t="s">
        <v>214</v>
      </c>
      <c r="AQ25" s="79">
        <v>9</v>
      </c>
      <c r="AR25" s="79">
        <v>700</v>
      </c>
      <c r="AS25" s="79">
        <v>6500</v>
      </c>
      <c r="AT25" s="79">
        <v>30000</v>
      </c>
      <c r="AU25" s="79" t="s">
        <v>270</v>
      </c>
      <c r="AV25" s="74"/>
      <c r="AW25" s="75">
        <v>24</v>
      </c>
      <c r="AX25" s="79" t="s">
        <v>139</v>
      </c>
      <c r="AY25" s="79" t="s">
        <v>344</v>
      </c>
      <c r="AZ25" s="79" t="s">
        <v>267</v>
      </c>
      <c r="BA25" s="79" t="s">
        <v>206</v>
      </c>
      <c r="BB25" s="79" t="s">
        <v>345</v>
      </c>
      <c r="BC25" s="79">
        <v>400</v>
      </c>
      <c r="BD25" s="79">
        <v>40000</v>
      </c>
      <c r="BE25" s="79">
        <v>4000</v>
      </c>
      <c r="BF25" s="79">
        <v>50000</v>
      </c>
      <c r="BG25" s="79" t="s">
        <v>204</v>
      </c>
    </row>
    <row r="26" spans="1:59">
      <c r="A26" s="70">
        <v>25</v>
      </c>
      <c r="B26" s="70" t="s">
        <v>119</v>
      </c>
      <c r="C26" s="71" t="s">
        <v>346</v>
      </c>
      <c r="D26" s="72" t="s">
        <v>202</v>
      </c>
      <c r="E26" s="70" t="s">
        <v>89</v>
      </c>
      <c r="F26" s="70" t="s">
        <v>243</v>
      </c>
      <c r="G26" s="73">
        <v>20</v>
      </c>
      <c r="H26" s="70">
        <v>3200</v>
      </c>
      <c r="I26" s="70">
        <v>4000</v>
      </c>
      <c r="J26" s="70">
        <v>50000</v>
      </c>
      <c r="K26" s="70" t="s">
        <v>204</v>
      </c>
      <c r="L26" s="74"/>
      <c r="M26" s="75">
        <v>25</v>
      </c>
      <c r="N26" s="72" t="s">
        <v>121</v>
      </c>
      <c r="O26" s="83" t="s">
        <v>347</v>
      </c>
      <c r="P26" s="72" t="s">
        <v>202</v>
      </c>
      <c r="Q26" s="72" t="s">
        <v>104</v>
      </c>
      <c r="R26" s="84" t="s">
        <v>206</v>
      </c>
      <c r="S26" s="83">
        <v>9</v>
      </c>
      <c r="T26" s="83">
        <v>900</v>
      </c>
      <c r="U26" s="72">
        <v>4000</v>
      </c>
      <c r="V26" s="72">
        <v>15000</v>
      </c>
      <c r="W26" s="72" t="s">
        <v>270</v>
      </c>
      <c r="X26" s="74" t="s">
        <v>200</v>
      </c>
      <c r="Y26" s="75">
        <v>25</v>
      </c>
      <c r="Z26" s="76" t="s">
        <v>136</v>
      </c>
      <c r="AA26" s="79" t="s">
        <v>348</v>
      </c>
      <c r="AB26" s="76" t="s">
        <v>202</v>
      </c>
      <c r="AC26" s="76" t="s">
        <v>268</v>
      </c>
      <c r="AD26" s="76" t="s">
        <v>269</v>
      </c>
      <c r="AE26" s="76">
        <v>25</v>
      </c>
      <c r="AF26" s="76">
        <v>4000</v>
      </c>
      <c r="AG26" s="76">
        <v>4000</v>
      </c>
      <c r="AH26" s="76">
        <v>50000</v>
      </c>
      <c r="AI26" s="76" t="s">
        <v>204</v>
      </c>
      <c r="AJ26" s="74" t="s">
        <v>200</v>
      </c>
      <c r="AK26" s="75">
        <v>25</v>
      </c>
      <c r="AL26" s="79" t="s">
        <v>138</v>
      </c>
      <c r="AM26" s="79" t="s">
        <v>349</v>
      </c>
      <c r="AN26" s="79" t="s">
        <v>301</v>
      </c>
      <c r="AO26" s="79" t="s">
        <v>900</v>
      </c>
      <c r="AP26" s="79" t="s">
        <v>230</v>
      </c>
      <c r="AQ26" s="79">
        <v>15</v>
      </c>
      <c r="AR26" s="79">
        <v>1080</v>
      </c>
      <c r="AS26" s="79">
        <v>3000</v>
      </c>
      <c r="AT26" s="79">
        <v>30000</v>
      </c>
      <c r="AU26" s="79" t="s">
        <v>270</v>
      </c>
      <c r="AV26" s="74"/>
      <c r="AW26" s="75">
        <v>25</v>
      </c>
      <c r="AX26" s="79" t="s">
        <v>139</v>
      </c>
      <c r="AY26" s="79" t="s">
        <v>350</v>
      </c>
      <c r="AZ26" s="79" t="s">
        <v>267</v>
      </c>
      <c r="BA26" s="79" t="s">
        <v>206</v>
      </c>
      <c r="BB26" s="79" t="s">
        <v>345</v>
      </c>
      <c r="BC26" s="79">
        <v>400</v>
      </c>
      <c r="BD26" s="79">
        <v>40000</v>
      </c>
      <c r="BE26" s="79">
        <v>6500</v>
      </c>
      <c r="BF26" s="79">
        <v>50000</v>
      </c>
      <c r="BG26" s="79" t="s">
        <v>204</v>
      </c>
    </row>
    <row r="27" spans="1:59">
      <c r="A27" s="70">
        <v>26</v>
      </c>
      <c r="B27" s="70" t="s">
        <v>119</v>
      </c>
      <c r="C27" s="71" t="s">
        <v>351</v>
      </c>
      <c r="D27" s="72" t="s">
        <v>202</v>
      </c>
      <c r="E27" s="70" t="s">
        <v>89</v>
      </c>
      <c r="F27" s="70" t="s">
        <v>243</v>
      </c>
      <c r="G27" s="73">
        <v>20</v>
      </c>
      <c r="H27" s="70">
        <v>3200</v>
      </c>
      <c r="I27" s="70">
        <v>6500</v>
      </c>
      <c r="J27" s="70">
        <v>50000</v>
      </c>
      <c r="K27" s="70" t="s">
        <v>204</v>
      </c>
      <c r="L27" s="74"/>
      <c r="M27" s="75">
        <v>26</v>
      </c>
      <c r="N27" s="72" t="s">
        <v>121</v>
      </c>
      <c r="O27" s="83" t="s">
        <v>352</v>
      </c>
      <c r="P27" s="72" t="s">
        <v>202</v>
      </c>
      <c r="Q27" s="72" t="s">
        <v>104</v>
      </c>
      <c r="R27" s="84" t="s">
        <v>206</v>
      </c>
      <c r="S27" s="83">
        <v>9</v>
      </c>
      <c r="T27" s="83">
        <v>900</v>
      </c>
      <c r="U27" s="72">
        <v>6500</v>
      </c>
      <c r="V27" s="72">
        <v>15000</v>
      </c>
      <c r="W27" s="72" t="s">
        <v>270</v>
      </c>
      <c r="X27" s="74" t="s">
        <v>200</v>
      </c>
      <c r="Y27" s="75">
        <v>26</v>
      </c>
      <c r="Z27" s="76" t="s">
        <v>136</v>
      </c>
      <c r="AA27" s="79" t="s">
        <v>353</v>
      </c>
      <c r="AB27" s="76" t="s">
        <v>202</v>
      </c>
      <c r="AC27" s="76" t="s">
        <v>268</v>
      </c>
      <c r="AD27" s="76" t="s">
        <v>269</v>
      </c>
      <c r="AE27" s="76">
        <v>25</v>
      </c>
      <c r="AF27" s="76">
        <v>4000</v>
      </c>
      <c r="AG27" s="76">
        <v>6500</v>
      </c>
      <c r="AH27" s="76">
        <v>50000</v>
      </c>
      <c r="AI27" s="76" t="s">
        <v>204</v>
      </c>
      <c r="AJ27" s="74" t="s">
        <v>200</v>
      </c>
      <c r="AK27" s="75">
        <v>26</v>
      </c>
      <c r="AL27" s="79" t="s">
        <v>138</v>
      </c>
      <c r="AM27" s="79" t="s">
        <v>354</v>
      </c>
      <c r="AN27" s="79" t="s">
        <v>301</v>
      </c>
      <c r="AO27" s="79" t="s">
        <v>900</v>
      </c>
      <c r="AP27" s="79" t="s">
        <v>230</v>
      </c>
      <c r="AQ27" s="79">
        <v>15</v>
      </c>
      <c r="AR27" s="79">
        <v>1200</v>
      </c>
      <c r="AS27" s="79">
        <v>4000</v>
      </c>
      <c r="AT27" s="79">
        <v>30000</v>
      </c>
      <c r="AU27" s="79" t="s">
        <v>270</v>
      </c>
      <c r="AV27" s="74"/>
      <c r="AW27" s="75">
        <v>26</v>
      </c>
      <c r="AX27" s="79" t="s">
        <v>139</v>
      </c>
      <c r="AY27" s="79" t="s">
        <v>355</v>
      </c>
      <c r="AZ27" s="79" t="s">
        <v>267</v>
      </c>
      <c r="BA27" s="79" t="s">
        <v>200</v>
      </c>
      <c r="BB27" s="79" t="s">
        <v>345</v>
      </c>
      <c r="BC27" s="79">
        <v>600</v>
      </c>
      <c r="BD27" s="79">
        <v>60000</v>
      </c>
      <c r="BE27" s="79">
        <v>6500</v>
      </c>
      <c r="BF27" s="79">
        <v>50000</v>
      </c>
      <c r="BG27" s="79" t="s">
        <v>204</v>
      </c>
    </row>
    <row r="28" spans="1:59">
      <c r="A28" s="70">
        <v>27</v>
      </c>
      <c r="B28" s="70" t="s">
        <v>133</v>
      </c>
      <c r="C28" s="72" t="s">
        <v>356</v>
      </c>
      <c r="D28" s="72" t="s">
        <v>202</v>
      </c>
      <c r="E28" s="72" t="s">
        <v>357</v>
      </c>
      <c r="F28" s="70" t="s">
        <v>203</v>
      </c>
      <c r="G28" s="73">
        <v>16</v>
      </c>
      <c r="H28" s="86">
        <v>2560</v>
      </c>
      <c r="I28" s="70">
        <v>4000</v>
      </c>
      <c r="J28" s="70">
        <v>50000</v>
      </c>
      <c r="K28" s="70" t="s">
        <v>204</v>
      </c>
      <c r="L28" s="74"/>
      <c r="M28" s="75">
        <v>27</v>
      </c>
      <c r="N28" s="72" t="s">
        <v>121</v>
      </c>
      <c r="O28" s="83" t="s">
        <v>358</v>
      </c>
      <c r="P28" s="72" t="s">
        <v>202</v>
      </c>
      <c r="Q28" s="72" t="s">
        <v>104</v>
      </c>
      <c r="R28" s="84" t="s">
        <v>206</v>
      </c>
      <c r="S28" s="83">
        <v>12</v>
      </c>
      <c r="T28" s="83">
        <v>1200</v>
      </c>
      <c r="U28" s="72">
        <v>3000</v>
      </c>
      <c r="V28" s="72">
        <v>15000</v>
      </c>
      <c r="W28" s="72" t="s">
        <v>270</v>
      </c>
      <c r="X28" s="74" t="s">
        <v>200</v>
      </c>
      <c r="Y28" s="75">
        <v>27</v>
      </c>
      <c r="Z28" s="76" t="s">
        <v>136</v>
      </c>
      <c r="AA28" s="79" t="s">
        <v>359</v>
      </c>
      <c r="AB28" s="76" t="s">
        <v>202</v>
      </c>
      <c r="AC28" s="76" t="s">
        <v>268</v>
      </c>
      <c r="AD28" s="76" t="s">
        <v>281</v>
      </c>
      <c r="AE28" s="76">
        <v>38</v>
      </c>
      <c r="AF28" s="76">
        <v>6080</v>
      </c>
      <c r="AG28" s="76">
        <v>4000</v>
      </c>
      <c r="AH28" s="76">
        <v>50000</v>
      </c>
      <c r="AI28" s="76" t="s">
        <v>204</v>
      </c>
      <c r="AJ28" s="74" t="s">
        <v>200</v>
      </c>
      <c r="AK28" s="75">
        <v>27</v>
      </c>
      <c r="AL28" s="79" t="s">
        <v>138</v>
      </c>
      <c r="AM28" s="79" t="s">
        <v>360</v>
      </c>
      <c r="AN28" s="79" t="s">
        <v>301</v>
      </c>
      <c r="AO28" s="79" t="s">
        <v>900</v>
      </c>
      <c r="AP28" s="79" t="s">
        <v>230</v>
      </c>
      <c r="AQ28" s="79">
        <v>15</v>
      </c>
      <c r="AR28" s="79">
        <v>1200</v>
      </c>
      <c r="AS28" s="79">
        <v>6500</v>
      </c>
      <c r="AT28" s="79">
        <v>30000</v>
      </c>
      <c r="AU28" s="79" t="s">
        <v>270</v>
      </c>
      <c r="AV28" s="74"/>
      <c r="AW28" s="75">
        <v>27</v>
      </c>
      <c r="AX28" s="79" t="s">
        <v>139</v>
      </c>
      <c r="AY28" s="79" t="s">
        <v>361</v>
      </c>
      <c r="AZ28" s="79" t="s">
        <v>267</v>
      </c>
      <c r="BA28" s="79" t="s">
        <v>206</v>
      </c>
      <c r="BB28" s="79" t="s">
        <v>345</v>
      </c>
      <c r="BC28" s="79">
        <v>600</v>
      </c>
      <c r="BD28" s="79">
        <v>60000</v>
      </c>
      <c r="BE28" s="79">
        <v>4000</v>
      </c>
      <c r="BF28" s="79">
        <v>50000</v>
      </c>
      <c r="BG28" s="79" t="s">
        <v>204</v>
      </c>
    </row>
    <row r="29" spans="1:59">
      <c r="A29" s="70">
        <v>28</v>
      </c>
      <c r="B29" s="70" t="s">
        <v>133</v>
      </c>
      <c r="C29" s="72" t="s">
        <v>362</v>
      </c>
      <c r="D29" s="72" t="s">
        <v>202</v>
      </c>
      <c r="E29" s="72" t="s">
        <v>357</v>
      </c>
      <c r="F29" s="70" t="s">
        <v>203</v>
      </c>
      <c r="G29" s="73">
        <v>16</v>
      </c>
      <c r="H29" s="86">
        <v>2560</v>
      </c>
      <c r="I29" s="70">
        <v>6500</v>
      </c>
      <c r="J29" s="70">
        <v>50000</v>
      </c>
      <c r="K29" s="70" t="s">
        <v>204</v>
      </c>
      <c r="L29" s="74"/>
      <c r="M29" s="75">
        <v>28</v>
      </c>
      <c r="N29" s="72" t="s">
        <v>121</v>
      </c>
      <c r="O29" s="83" t="s">
        <v>363</v>
      </c>
      <c r="P29" s="72" t="s">
        <v>202</v>
      </c>
      <c r="Q29" s="72" t="s">
        <v>104</v>
      </c>
      <c r="R29" s="84" t="s">
        <v>206</v>
      </c>
      <c r="S29" s="83">
        <v>12</v>
      </c>
      <c r="T29" s="83">
        <v>1200</v>
      </c>
      <c r="U29" s="72">
        <v>4000</v>
      </c>
      <c r="V29" s="72">
        <v>15000</v>
      </c>
      <c r="W29" s="72" t="s">
        <v>270</v>
      </c>
      <c r="X29" s="74" t="s">
        <v>200</v>
      </c>
      <c r="Y29" s="75">
        <v>28</v>
      </c>
      <c r="Z29" s="76" t="s">
        <v>136</v>
      </c>
      <c r="AA29" s="79" t="s">
        <v>364</v>
      </c>
      <c r="AB29" s="76" t="s">
        <v>202</v>
      </c>
      <c r="AC29" s="76" t="s">
        <v>268</v>
      </c>
      <c r="AD29" s="76" t="s">
        <v>281</v>
      </c>
      <c r="AE29" s="76">
        <v>38</v>
      </c>
      <c r="AF29" s="76">
        <v>6080</v>
      </c>
      <c r="AG29" s="76">
        <v>6500</v>
      </c>
      <c r="AH29" s="76">
        <v>50000</v>
      </c>
      <c r="AI29" s="76" t="s">
        <v>204</v>
      </c>
      <c r="AJ29" s="74" t="s">
        <v>200</v>
      </c>
      <c r="AK29" s="75">
        <v>28</v>
      </c>
      <c r="AL29" s="79" t="s">
        <v>138</v>
      </c>
      <c r="AM29" s="79" t="s">
        <v>365</v>
      </c>
      <c r="AN29" s="79" t="s">
        <v>301</v>
      </c>
      <c r="AO29" s="79" t="s">
        <v>901</v>
      </c>
      <c r="AP29" s="79" t="s">
        <v>262</v>
      </c>
      <c r="AQ29" s="79">
        <v>18</v>
      </c>
      <c r="AR29" s="79">
        <v>1600</v>
      </c>
      <c r="AS29" s="79">
        <v>3000</v>
      </c>
      <c r="AT29" s="79">
        <v>30000</v>
      </c>
      <c r="AU29" s="79" t="s">
        <v>270</v>
      </c>
      <c r="AV29" s="74"/>
      <c r="AW29" s="75">
        <v>28</v>
      </c>
      <c r="AX29" s="79" t="s">
        <v>139</v>
      </c>
      <c r="AY29" s="79" t="s">
        <v>366</v>
      </c>
      <c r="AZ29" s="79" t="s">
        <v>208</v>
      </c>
      <c r="BA29" s="79" t="s">
        <v>209</v>
      </c>
      <c r="BB29" s="79" t="s">
        <v>367</v>
      </c>
      <c r="BC29" s="79">
        <v>10</v>
      </c>
      <c r="BD29" s="79">
        <v>1450</v>
      </c>
      <c r="BE29" s="79">
        <v>3000</v>
      </c>
      <c r="BF29" s="79">
        <v>100000</v>
      </c>
      <c r="BG29" s="79" t="s">
        <v>211</v>
      </c>
    </row>
    <row r="30" spans="1:59">
      <c r="A30" s="70">
        <v>29</v>
      </c>
      <c r="B30" s="70" t="s">
        <v>133</v>
      </c>
      <c r="C30" s="72" t="s">
        <v>368</v>
      </c>
      <c r="D30" s="72" t="s">
        <v>202</v>
      </c>
      <c r="E30" s="72" t="s">
        <v>357</v>
      </c>
      <c r="F30" s="70" t="s">
        <v>232</v>
      </c>
      <c r="G30" s="73">
        <v>30</v>
      </c>
      <c r="H30" s="86">
        <v>4800</v>
      </c>
      <c r="I30" s="70">
        <v>4000</v>
      </c>
      <c r="J30" s="70">
        <v>50000</v>
      </c>
      <c r="K30" s="70" t="s">
        <v>204</v>
      </c>
      <c r="L30" s="74"/>
      <c r="M30" s="75">
        <v>29</v>
      </c>
      <c r="N30" s="72" t="s">
        <v>121</v>
      </c>
      <c r="O30" s="83" t="s">
        <v>369</v>
      </c>
      <c r="P30" s="72" t="s">
        <v>202</v>
      </c>
      <c r="Q30" s="72" t="s">
        <v>104</v>
      </c>
      <c r="R30" s="84" t="s">
        <v>206</v>
      </c>
      <c r="S30" s="83">
        <v>12</v>
      </c>
      <c r="T30" s="83">
        <v>1200</v>
      </c>
      <c r="U30" s="72">
        <v>6500</v>
      </c>
      <c r="V30" s="72">
        <v>15000</v>
      </c>
      <c r="W30" s="72" t="s">
        <v>270</v>
      </c>
      <c r="X30" s="74" t="s">
        <v>200</v>
      </c>
      <c r="Y30" s="75">
        <v>29</v>
      </c>
      <c r="Z30" s="76" t="s">
        <v>137</v>
      </c>
      <c r="AA30" s="79" t="s">
        <v>370</v>
      </c>
      <c r="AB30" s="76" t="s">
        <v>202</v>
      </c>
      <c r="AC30" s="76" t="s">
        <v>213</v>
      </c>
      <c r="AD30" s="76" t="s">
        <v>371</v>
      </c>
      <c r="AE30" s="76">
        <v>18</v>
      </c>
      <c r="AF30" s="76">
        <v>1325</v>
      </c>
      <c r="AG30" s="76">
        <v>3000</v>
      </c>
      <c r="AH30" s="76">
        <v>25000</v>
      </c>
      <c r="AI30" s="76" t="s">
        <v>270</v>
      </c>
      <c r="AJ30" s="74" t="s">
        <v>200</v>
      </c>
      <c r="AK30" s="75">
        <v>29</v>
      </c>
      <c r="AL30" s="79" t="s">
        <v>138</v>
      </c>
      <c r="AM30" s="79" t="s">
        <v>372</v>
      </c>
      <c r="AN30" s="79" t="s">
        <v>301</v>
      </c>
      <c r="AO30" s="79" t="s">
        <v>901</v>
      </c>
      <c r="AP30" s="79" t="s">
        <v>262</v>
      </c>
      <c r="AQ30" s="79">
        <v>18</v>
      </c>
      <c r="AR30" s="79">
        <v>1750</v>
      </c>
      <c r="AS30" s="79">
        <v>4000</v>
      </c>
      <c r="AT30" s="79">
        <v>30000</v>
      </c>
      <c r="AU30" s="79" t="s">
        <v>270</v>
      </c>
      <c r="AV30" s="74"/>
      <c r="AW30" s="75">
        <v>29</v>
      </c>
      <c r="AX30" s="79" t="s">
        <v>139</v>
      </c>
      <c r="AY30" s="79" t="s">
        <v>373</v>
      </c>
      <c r="AZ30" s="79" t="s">
        <v>208</v>
      </c>
      <c r="BA30" s="79" t="s">
        <v>209</v>
      </c>
      <c r="BB30" s="79" t="s">
        <v>367</v>
      </c>
      <c r="BC30" s="79">
        <v>10</v>
      </c>
      <c r="BD30" s="79">
        <v>1550</v>
      </c>
      <c r="BE30" s="79">
        <v>4000</v>
      </c>
      <c r="BF30" s="79">
        <v>100000</v>
      </c>
      <c r="BG30" s="79" t="s">
        <v>211</v>
      </c>
    </row>
    <row r="31" spans="1:59">
      <c r="A31" s="70">
        <v>30</v>
      </c>
      <c r="B31" s="70" t="s">
        <v>133</v>
      </c>
      <c r="C31" s="72" t="s">
        <v>374</v>
      </c>
      <c r="D31" s="72" t="s">
        <v>202</v>
      </c>
      <c r="E31" s="72" t="s">
        <v>357</v>
      </c>
      <c r="F31" s="70" t="s">
        <v>232</v>
      </c>
      <c r="G31" s="73">
        <v>30</v>
      </c>
      <c r="H31" s="86">
        <v>4800</v>
      </c>
      <c r="I31" s="70">
        <v>6500</v>
      </c>
      <c r="J31" s="70">
        <v>50000</v>
      </c>
      <c r="K31" s="70" t="s">
        <v>204</v>
      </c>
      <c r="L31" s="74"/>
      <c r="M31" s="75">
        <v>30</v>
      </c>
      <c r="N31" s="72" t="s">
        <v>121</v>
      </c>
      <c r="O31" s="83" t="s">
        <v>375</v>
      </c>
      <c r="P31" s="72" t="s">
        <v>202</v>
      </c>
      <c r="Q31" s="72" t="s">
        <v>104</v>
      </c>
      <c r="R31" s="84" t="s">
        <v>206</v>
      </c>
      <c r="S31" s="83">
        <v>17.7</v>
      </c>
      <c r="T31" s="83">
        <v>1770</v>
      </c>
      <c r="U31" s="72">
        <v>3000</v>
      </c>
      <c r="V31" s="72">
        <v>15000</v>
      </c>
      <c r="W31" s="72" t="s">
        <v>270</v>
      </c>
      <c r="X31" s="74" t="s">
        <v>200</v>
      </c>
      <c r="Y31" s="75">
        <v>30</v>
      </c>
      <c r="Z31" s="76" t="s">
        <v>137</v>
      </c>
      <c r="AA31" s="76" t="s">
        <v>376</v>
      </c>
      <c r="AB31" s="76" t="s">
        <v>202</v>
      </c>
      <c r="AC31" s="76" t="s">
        <v>213</v>
      </c>
      <c r="AD31" s="76" t="s">
        <v>371</v>
      </c>
      <c r="AE31" s="76">
        <v>18</v>
      </c>
      <c r="AF31" s="76">
        <v>1440</v>
      </c>
      <c r="AG31" s="76">
        <v>4000</v>
      </c>
      <c r="AH31" s="76">
        <v>25000</v>
      </c>
      <c r="AI31" s="76" t="s">
        <v>270</v>
      </c>
      <c r="AJ31" s="74" t="s">
        <v>200</v>
      </c>
      <c r="AK31" s="75">
        <v>30</v>
      </c>
      <c r="AL31" s="79" t="s">
        <v>138</v>
      </c>
      <c r="AM31" s="79" t="s">
        <v>377</v>
      </c>
      <c r="AN31" s="79" t="s">
        <v>301</v>
      </c>
      <c r="AO31" s="79" t="s">
        <v>901</v>
      </c>
      <c r="AP31" s="79" t="s">
        <v>262</v>
      </c>
      <c r="AQ31" s="79">
        <v>18</v>
      </c>
      <c r="AR31" s="79">
        <v>1750</v>
      </c>
      <c r="AS31" s="79">
        <v>6500</v>
      </c>
      <c r="AT31" s="79">
        <v>30000</v>
      </c>
      <c r="AU31" s="79" t="s">
        <v>270</v>
      </c>
      <c r="AV31" s="74"/>
      <c r="AW31" s="75">
        <v>30</v>
      </c>
      <c r="AX31" s="79" t="s">
        <v>139</v>
      </c>
      <c r="AY31" s="79" t="s">
        <v>378</v>
      </c>
      <c r="AZ31" s="79" t="s">
        <v>208</v>
      </c>
      <c r="BA31" s="79" t="s">
        <v>209</v>
      </c>
      <c r="BB31" s="79" t="s">
        <v>367</v>
      </c>
      <c r="BC31" s="79">
        <v>10</v>
      </c>
      <c r="BD31" s="79">
        <v>1550</v>
      </c>
      <c r="BE31" s="79">
        <v>6500</v>
      </c>
      <c r="BF31" s="79">
        <v>100000</v>
      </c>
      <c r="BG31" s="79" t="s">
        <v>211</v>
      </c>
    </row>
    <row r="32" spans="1:59">
      <c r="A32" s="70">
        <v>31</v>
      </c>
      <c r="B32" s="70" t="s">
        <v>133</v>
      </c>
      <c r="C32" s="72" t="s">
        <v>379</v>
      </c>
      <c r="D32" s="72" t="s">
        <v>202</v>
      </c>
      <c r="E32" s="72" t="s">
        <v>357</v>
      </c>
      <c r="F32" s="70" t="s">
        <v>243</v>
      </c>
      <c r="G32" s="73">
        <v>45</v>
      </c>
      <c r="H32" s="86">
        <v>7200</v>
      </c>
      <c r="I32" s="70">
        <v>4000</v>
      </c>
      <c r="J32" s="70">
        <v>50000</v>
      </c>
      <c r="K32" s="70" t="s">
        <v>204</v>
      </c>
      <c r="L32" s="74"/>
      <c r="M32" s="75">
        <v>31</v>
      </c>
      <c r="N32" s="72" t="s">
        <v>121</v>
      </c>
      <c r="O32" s="83" t="s">
        <v>380</v>
      </c>
      <c r="P32" s="72" t="s">
        <v>202</v>
      </c>
      <c r="Q32" s="72" t="s">
        <v>104</v>
      </c>
      <c r="R32" s="84" t="s">
        <v>206</v>
      </c>
      <c r="S32" s="83">
        <v>17.7</v>
      </c>
      <c r="T32" s="83">
        <v>1770</v>
      </c>
      <c r="U32" s="72">
        <v>4000</v>
      </c>
      <c r="V32" s="72">
        <v>15000</v>
      </c>
      <c r="W32" s="72" t="s">
        <v>270</v>
      </c>
      <c r="X32" s="74" t="s">
        <v>200</v>
      </c>
      <c r="Y32" s="72">
        <v>31</v>
      </c>
      <c r="Z32" s="72" t="s">
        <v>136</v>
      </c>
      <c r="AA32" s="72" t="s">
        <v>772</v>
      </c>
      <c r="AB32" s="72" t="s">
        <v>381</v>
      </c>
      <c r="AC32" s="72" t="s">
        <v>209</v>
      </c>
      <c r="AD32" s="72" t="s">
        <v>210</v>
      </c>
      <c r="AE32" s="72">
        <v>21</v>
      </c>
      <c r="AF32" s="72">
        <v>4000</v>
      </c>
      <c r="AG32" s="72">
        <v>3000</v>
      </c>
      <c r="AH32" s="72">
        <v>50000</v>
      </c>
      <c r="AI32" s="72" t="s">
        <v>270</v>
      </c>
      <c r="AJ32" s="74" t="s">
        <v>200</v>
      </c>
      <c r="AK32" s="75">
        <v>31</v>
      </c>
      <c r="AL32" s="79" t="s">
        <v>138</v>
      </c>
      <c r="AM32" s="79" t="s">
        <v>382</v>
      </c>
      <c r="AN32" s="79" t="s">
        <v>202</v>
      </c>
      <c r="AO32" s="79" t="s">
        <v>899</v>
      </c>
      <c r="AP32" s="79">
        <v>4</v>
      </c>
      <c r="AQ32" s="79">
        <v>5.5</v>
      </c>
      <c r="AR32" s="79">
        <v>693</v>
      </c>
      <c r="AS32" s="79">
        <v>3000</v>
      </c>
      <c r="AT32" s="79">
        <v>50000</v>
      </c>
      <c r="AU32" s="79" t="s">
        <v>204</v>
      </c>
      <c r="AV32" s="74"/>
      <c r="AW32" s="75">
        <v>31</v>
      </c>
      <c r="AX32" s="79" t="s">
        <v>139</v>
      </c>
      <c r="AY32" s="79" t="s">
        <v>383</v>
      </c>
      <c r="AZ32" s="79" t="s">
        <v>208</v>
      </c>
      <c r="BA32" s="79" t="s">
        <v>209</v>
      </c>
      <c r="BB32" s="79" t="s">
        <v>384</v>
      </c>
      <c r="BC32" s="79">
        <v>15</v>
      </c>
      <c r="BD32" s="79">
        <v>2150</v>
      </c>
      <c r="BE32" s="79">
        <v>3000</v>
      </c>
      <c r="BF32" s="79">
        <v>100000</v>
      </c>
      <c r="BG32" s="79" t="s">
        <v>211</v>
      </c>
    </row>
    <row r="33" spans="1:59">
      <c r="A33" s="70">
        <v>32</v>
      </c>
      <c r="B33" s="70" t="s">
        <v>133</v>
      </c>
      <c r="C33" s="72" t="s">
        <v>385</v>
      </c>
      <c r="D33" s="72" t="s">
        <v>202</v>
      </c>
      <c r="E33" s="72" t="s">
        <v>357</v>
      </c>
      <c r="F33" s="70" t="s">
        <v>243</v>
      </c>
      <c r="G33" s="73">
        <v>45</v>
      </c>
      <c r="H33" s="86">
        <v>7200</v>
      </c>
      <c r="I33" s="70">
        <v>6500</v>
      </c>
      <c r="J33" s="70">
        <v>50000</v>
      </c>
      <c r="K33" s="70" t="s">
        <v>204</v>
      </c>
      <c r="L33" s="74"/>
      <c r="M33" s="75">
        <v>32</v>
      </c>
      <c r="N33" s="72" t="s">
        <v>121</v>
      </c>
      <c r="O33" s="83" t="s">
        <v>386</v>
      </c>
      <c r="P33" s="72" t="s">
        <v>202</v>
      </c>
      <c r="Q33" s="72" t="s">
        <v>104</v>
      </c>
      <c r="R33" s="84" t="s">
        <v>206</v>
      </c>
      <c r="S33" s="83">
        <v>17.7</v>
      </c>
      <c r="T33" s="83">
        <v>1770</v>
      </c>
      <c r="U33" s="72">
        <v>6500</v>
      </c>
      <c r="V33" s="72">
        <v>15000</v>
      </c>
      <c r="W33" s="72" t="s">
        <v>270</v>
      </c>
      <c r="X33" s="74" t="s">
        <v>200</v>
      </c>
      <c r="Y33" s="72">
        <v>32</v>
      </c>
      <c r="Z33" s="72" t="s">
        <v>136</v>
      </c>
      <c r="AA33" s="72" t="s">
        <v>773</v>
      </c>
      <c r="AB33" s="72" t="s">
        <v>381</v>
      </c>
      <c r="AC33" s="72" t="s">
        <v>268</v>
      </c>
      <c r="AD33" s="72" t="s">
        <v>281</v>
      </c>
      <c r="AE33" s="72">
        <v>33</v>
      </c>
      <c r="AF33" s="72">
        <v>5700</v>
      </c>
      <c r="AG33" s="72">
        <v>3000</v>
      </c>
      <c r="AH33" s="72">
        <v>50000</v>
      </c>
      <c r="AI33" s="72" t="s">
        <v>270</v>
      </c>
      <c r="AJ33" s="74" t="s">
        <v>200</v>
      </c>
      <c r="AK33" s="75">
        <v>32</v>
      </c>
      <c r="AL33" s="79" t="s">
        <v>138</v>
      </c>
      <c r="AM33" s="79" t="s">
        <v>387</v>
      </c>
      <c r="AN33" s="79" t="s">
        <v>202</v>
      </c>
      <c r="AO33" s="79" t="s">
        <v>899</v>
      </c>
      <c r="AP33" s="79">
        <v>4</v>
      </c>
      <c r="AQ33" s="79">
        <v>5.5</v>
      </c>
      <c r="AR33" s="79">
        <v>721</v>
      </c>
      <c r="AS33" s="79">
        <v>4000</v>
      </c>
      <c r="AT33" s="79">
        <v>50000</v>
      </c>
      <c r="AU33" s="79" t="s">
        <v>204</v>
      </c>
      <c r="AV33" s="74"/>
      <c r="AW33" s="75">
        <v>32</v>
      </c>
      <c r="AX33" s="79" t="s">
        <v>139</v>
      </c>
      <c r="AY33" s="79" t="s">
        <v>388</v>
      </c>
      <c r="AZ33" s="79" t="s">
        <v>208</v>
      </c>
      <c r="BA33" s="79" t="s">
        <v>209</v>
      </c>
      <c r="BB33" s="79" t="s">
        <v>384</v>
      </c>
      <c r="BC33" s="79">
        <v>15</v>
      </c>
      <c r="BD33" s="79">
        <v>2350</v>
      </c>
      <c r="BE33" s="79">
        <v>4000</v>
      </c>
      <c r="BF33" s="79">
        <v>100000</v>
      </c>
      <c r="BG33" s="79" t="s">
        <v>211</v>
      </c>
    </row>
    <row r="34" spans="1:59">
      <c r="A34" s="70">
        <v>33</v>
      </c>
      <c r="B34" s="70" t="s">
        <v>119</v>
      </c>
      <c r="C34" s="72" t="s">
        <v>389</v>
      </c>
      <c r="D34" s="72" t="s">
        <v>301</v>
      </c>
      <c r="E34" s="72" t="s">
        <v>89</v>
      </c>
      <c r="F34" s="72" t="s">
        <v>203</v>
      </c>
      <c r="G34" s="72">
        <v>5.3</v>
      </c>
      <c r="H34" s="72">
        <v>900</v>
      </c>
      <c r="I34" s="72">
        <v>3000</v>
      </c>
      <c r="J34" s="72">
        <v>50000</v>
      </c>
      <c r="K34" s="72" t="s">
        <v>204</v>
      </c>
      <c r="L34" s="74"/>
      <c r="M34" s="75">
        <v>33</v>
      </c>
      <c r="N34" s="72" t="s">
        <v>129</v>
      </c>
      <c r="O34" s="71" t="s">
        <v>390</v>
      </c>
      <c r="P34" s="72" t="s">
        <v>202</v>
      </c>
      <c r="Q34" s="72" t="s">
        <v>108</v>
      </c>
      <c r="R34" s="84" t="s">
        <v>206</v>
      </c>
      <c r="S34" s="72">
        <v>5</v>
      </c>
      <c r="T34" s="72">
        <v>500</v>
      </c>
      <c r="U34" s="72">
        <v>3000</v>
      </c>
      <c r="V34" s="72">
        <v>15000</v>
      </c>
      <c r="W34" s="72" t="s">
        <v>270</v>
      </c>
      <c r="X34" s="74" t="s">
        <v>200</v>
      </c>
      <c r="Y34" s="72">
        <v>33</v>
      </c>
      <c r="Z34" s="72" t="s">
        <v>136</v>
      </c>
      <c r="AA34" s="72" t="s">
        <v>774</v>
      </c>
      <c r="AB34" s="72" t="s">
        <v>381</v>
      </c>
      <c r="AC34" s="72" t="s">
        <v>209</v>
      </c>
      <c r="AD34" s="72" t="s">
        <v>210</v>
      </c>
      <c r="AE34" s="72">
        <v>27</v>
      </c>
      <c r="AF34" s="72">
        <v>3800</v>
      </c>
      <c r="AG34" s="72">
        <v>3000</v>
      </c>
      <c r="AH34" s="72">
        <v>50000</v>
      </c>
      <c r="AI34" s="72" t="s">
        <v>270</v>
      </c>
      <c r="AJ34" s="74" t="s">
        <v>200</v>
      </c>
      <c r="AK34" s="75">
        <v>33</v>
      </c>
      <c r="AL34" s="76" t="s">
        <v>138</v>
      </c>
      <c r="AM34" s="82" t="s">
        <v>391</v>
      </c>
      <c r="AN34" s="76" t="s">
        <v>202</v>
      </c>
      <c r="AO34" s="76" t="s">
        <v>899</v>
      </c>
      <c r="AP34" s="76">
        <v>4</v>
      </c>
      <c r="AQ34" s="76">
        <v>5.5</v>
      </c>
      <c r="AR34" s="82">
        <v>721</v>
      </c>
      <c r="AS34" s="76">
        <v>6500</v>
      </c>
      <c r="AT34" s="76">
        <v>50000</v>
      </c>
      <c r="AU34" s="76" t="s">
        <v>204</v>
      </c>
      <c r="AV34" s="74"/>
      <c r="AW34" s="75">
        <v>33</v>
      </c>
      <c r="AX34" s="79" t="s">
        <v>139</v>
      </c>
      <c r="AY34" s="79" t="s">
        <v>392</v>
      </c>
      <c r="AZ34" s="79" t="s">
        <v>208</v>
      </c>
      <c r="BA34" s="79" t="s">
        <v>209</v>
      </c>
      <c r="BB34" s="79" t="s">
        <v>384</v>
      </c>
      <c r="BC34" s="79">
        <v>15</v>
      </c>
      <c r="BD34" s="79">
        <v>2350</v>
      </c>
      <c r="BE34" s="79">
        <v>6500</v>
      </c>
      <c r="BF34" s="79">
        <v>100000</v>
      </c>
      <c r="BG34" s="79" t="s">
        <v>211</v>
      </c>
    </row>
    <row r="35" spans="1:59">
      <c r="A35" s="70">
        <v>34</v>
      </c>
      <c r="B35" s="70" t="s">
        <v>119</v>
      </c>
      <c r="C35" s="72" t="s">
        <v>393</v>
      </c>
      <c r="D35" s="72" t="s">
        <v>301</v>
      </c>
      <c r="E35" s="72" t="s">
        <v>89</v>
      </c>
      <c r="F35" s="72" t="s">
        <v>203</v>
      </c>
      <c r="G35" s="72">
        <v>5.3</v>
      </c>
      <c r="H35" s="72">
        <v>1000</v>
      </c>
      <c r="I35" s="72">
        <v>4000</v>
      </c>
      <c r="J35" s="72">
        <v>50000</v>
      </c>
      <c r="K35" s="72" t="s">
        <v>204</v>
      </c>
      <c r="L35" s="74"/>
      <c r="M35" s="75">
        <v>34</v>
      </c>
      <c r="N35" s="72" t="s">
        <v>129</v>
      </c>
      <c r="O35" s="71" t="s">
        <v>394</v>
      </c>
      <c r="P35" s="72" t="s">
        <v>202</v>
      </c>
      <c r="Q35" s="72" t="s">
        <v>108</v>
      </c>
      <c r="R35" s="84" t="s">
        <v>206</v>
      </c>
      <c r="S35" s="72">
        <v>5</v>
      </c>
      <c r="T35" s="72">
        <v>500</v>
      </c>
      <c r="U35" s="72">
        <v>4000</v>
      </c>
      <c r="V35" s="72">
        <v>15000</v>
      </c>
      <c r="W35" s="72" t="s">
        <v>270</v>
      </c>
      <c r="X35" s="74" t="s">
        <v>200</v>
      </c>
      <c r="Y35" s="72">
        <v>34</v>
      </c>
      <c r="Z35" s="72" t="s">
        <v>136</v>
      </c>
      <c r="AA35" s="72" t="s">
        <v>775</v>
      </c>
      <c r="AB35" s="72" t="s">
        <v>381</v>
      </c>
      <c r="AC35" s="72" t="s">
        <v>209</v>
      </c>
      <c r="AD35" s="72" t="s">
        <v>210</v>
      </c>
      <c r="AE35" s="72">
        <v>21</v>
      </c>
      <c r="AF35" s="72">
        <v>4000</v>
      </c>
      <c r="AG35" s="72">
        <v>4000</v>
      </c>
      <c r="AH35" s="72">
        <v>50000</v>
      </c>
      <c r="AI35" s="72" t="s">
        <v>270</v>
      </c>
      <c r="AJ35" s="74" t="s">
        <v>200</v>
      </c>
      <c r="AK35" s="75">
        <v>34</v>
      </c>
      <c r="AL35" s="76" t="s">
        <v>138</v>
      </c>
      <c r="AM35" s="82" t="s">
        <v>395</v>
      </c>
      <c r="AN35" s="76" t="s">
        <v>202</v>
      </c>
      <c r="AO35" s="76" t="s">
        <v>900</v>
      </c>
      <c r="AP35" s="76">
        <v>6</v>
      </c>
      <c r="AQ35" s="76">
        <v>8.5</v>
      </c>
      <c r="AR35" s="82">
        <v>1139</v>
      </c>
      <c r="AS35" s="76">
        <v>3000</v>
      </c>
      <c r="AT35" s="76">
        <v>50000</v>
      </c>
      <c r="AU35" s="76" t="s">
        <v>204</v>
      </c>
      <c r="AV35" s="74"/>
      <c r="AW35" s="75">
        <v>34</v>
      </c>
      <c r="AX35" s="79" t="s">
        <v>139</v>
      </c>
      <c r="AY35" s="79" t="s">
        <v>396</v>
      </c>
      <c r="AZ35" s="79" t="s">
        <v>208</v>
      </c>
      <c r="BA35" s="79" t="s">
        <v>209</v>
      </c>
      <c r="BB35" s="79" t="s">
        <v>397</v>
      </c>
      <c r="BC35" s="79">
        <v>25</v>
      </c>
      <c r="BD35" s="79">
        <v>3750</v>
      </c>
      <c r="BE35" s="79">
        <v>3000</v>
      </c>
      <c r="BF35" s="79">
        <v>100000</v>
      </c>
      <c r="BG35" s="79" t="s">
        <v>211</v>
      </c>
    </row>
    <row r="36" spans="1:59">
      <c r="A36" s="70">
        <v>35</v>
      </c>
      <c r="B36" s="70" t="s">
        <v>119</v>
      </c>
      <c r="C36" s="72" t="s">
        <v>398</v>
      </c>
      <c r="D36" s="72" t="s">
        <v>301</v>
      </c>
      <c r="E36" s="72" t="s">
        <v>89</v>
      </c>
      <c r="F36" s="72" t="s">
        <v>203</v>
      </c>
      <c r="G36" s="72">
        <v>5.3</v>
      </c>
      <c r="H36" s="72">
        <v>1000</v>
      </c>
      <c r="I36" s="72">
        <v>6500</v>
      </c>
      <c r="J36" s="72">
        <v>50000</v>
      </c>
      <c r="K36" s="72" t="s">
        <v>204</v>
      </c>
      <c r="L36" s="74"/>
      <c r="M36" s="75">
        <v>35</v>
      </c>
      <c r="N36" s="72" t="s">
        <v>129</v>
      </c>
      <c r="O36" s="71" t="s">
        <v>399</v>
      </c>
      <c r="P36" s="72" t="s">
        <v>202</v>
      </c>
      <c r="Q36" s="72" t="s">
        <v>108</v>
      </c>
      <c r="R36" s="84" t="s">
        <v>206</v>
      </c>
      <c r="S36" s="72">
        <v>5</v>
      </c>
      <c r="T36" s="72">
        <v>500</v>
      </c>
      <c r="U36" s="72">
        <v>6500</v>
      </c>
      <c r="V36" s="72">
        <v>15000</v>
      </c>
      <c r="W36" s="72" t="s">
        <v>270</v>
      </c>
      <c r="X36" s="74" t="s">
        <v>200</v>
      </c>
      <c r="Y36" s="72">
        <v>35</v>
      </c>
      <c r="Z36" s="72" t="s">
        <v>136</v>
      </c>
      <c r="AA36" s="72" t="s">
        <v>776</v>
      </c>
      <c r="AB36" s="72" t="s">
        <v>381</v>
      </c>
      <c r="AC36" s="72" t="s">
        <v>268</v>
      </c>
      <c r="AD36" s="72" t="s">
        <v>281</v>
      </c>
      <c r="AE36" s="72">
        <v>33</v>
      </c>
      <c r="AF36" s="72">
        <v>5700</v>
      </c>
      <c r="AG36" s="72">
        <v>4000</v>
      </c>
      <c r="AH36" s="72">
        <v>50000</v>
      </c>
      <c r="AI36" s="72" t="s">
        <v>270</v>
      </c>
      <c r="AJ36" s="74" t="s">
        <v>200</v>
      </c>
      <c r="AK36" s="75">
        <v>35</v>
      </c>
      <c r="AL36" s="76" t="s">
        <v>138</v>
      </c>
      <c r="AM36" s="82" t="s">
        <v>400</v>
      </c>
      <c r="AN36" s="76" t="s">
        <v>202</v>
      </c>
      <c r="AO36" s="76" t="s">
        <v>900</v>
      </c>
      <c r="AP36" s="76">
        <v>6</v>
      </c>
      <c r="AQ36" s="76">
        <v>8.5</v>
      </c>
      <c r="AR36" s="82">
        <v>1207</v>
      </c>
      <c r="AS36" s="76">
        <v>4000</v>
      </c>
      <c r="AT36" s="76">
        <v>50000</v>
      </c>
      <c r="AU36" s="76" t="s">
        <v>204</v>
      </c>
      <c r="AV36" s="74"/>
      <c r="AW36" s="75">
        <v>35</v>
      </c>
      <c r="AX36" s="79" t="s">
        <v>139</v>
      </c>
      <c r="AY36" s="79" t="s">
        <v>401</v>
      </c>
      <c r="AZ36" s="79" t="s">
        <v>208</v>
      </c>
      <c r="BA36" s="79" t="s">
        <v>209</v>
      </c>
      <c r="BB36" s="79" t="s">
        <v>397</v>
      </c>
      <c r="BC36" s="79">
        <v>25</v>
      </c>
      <c r="BD36" s="79">
        <v>4000</v>
      </c>
      <c r="BE36" s="79">
        <v>4000</v>
      </c>
      <c r="BF36" s="79">
        <v>100000</v>
      </c>
      <c r="BG36" s="79" t="s">
        <v>211</v>
      </c>
    </row>
    <row r="37" spans="1:59">
      <c r="A37" s="70">
        <v>36</v>
      </c>
      <c r="B37" s="70" t="s">
        <v>119</v>
      </c>
      <c r="C37" s="72" t="s">
        <v>402</v>
      </c>
      <c r="D37" s="72" t="s">
        <v>301</v>
      </c>
      <c r="E37" s="72" t="s">
        <v>89</v>
      </c>
      <c r="F37" s="72" t="s">
        <v>222</v>
      </c>
      <c r="G37" s="72">
        <v>9</v>
      </c>
      <c r="H37" s="72">
        <v>1458</v>
      </c>
      <c r="I37" s="72">
        <v>3000</v>
      </c>
      <c r="J37" s="72">
        <v>50000</v>
      </c>
      <c r="K37" s="72" t="s">
        <v>204</v>
      </c>
      <c r="L37" s="74"/>
      <c r="M37" s="75">
        <v>36</v>
      </c>
      <c r="N37" s="72" t="s">
        <v>120</v>
      </c>
      <c r="O37" s="83" t="s">
        <v>403</v>
      </c>
      <c r="P37" s="72" t="s">
        <v>202</v>
      </c>
      <c r="Q37" s="72" t="s">
        <v>404</v>
      </c>
      <c r="R37" s="84" t="s">
        <v>206</v>
      </c>
      <c r="S37" s="72">
        <v>2.85</v>
      </c>
      <c r="T37" s="83">
        <v>450</v>
      </c>
      <c r="U37" s="83">
        <v>2700</v>
      </c>
      <c r="V37" s="72">
        <v>25000</v>
      </c>
      <c r="W37" s="72" t="s">
        <v>270</v>
      </c>
      <c r="X37" s="74" t="s">
        <v>200</v>
      </c>
      <c r="Y37" s="72">
        <v>36</v>
      </c>
      <c r="Z37" s="72" t="s">
        <v>136</v>
      </c>
      <c r="AA37" s="72" t="s">
        <v>777</v>
      </c>
      <c r="AB37" s="72" t="s">
        <v>381</v>
      </c>
      <c r="AC37" s="72" t="s">
        <v>209</v>
      </c>
      <c r="AD37" s="72" t="s">
        <v>210</v>
      </c>
      <c r="AE37" s="72">
        <v>27</v>
      </c>
      <c r="AF37" s="72">
        <v>3800</v>
      </c>
      <c r="AG37" s="72">
        <v>4000</v>
      </c>
      <c r="AH37" s="72">
        <v>50000</v>
      </c>
      <c r="AI37" s="72" t="s">
        <v>270</v>
      </c>
      <c r="AJ37" s="74" t="s">
        <v>200</v>
      </c>
      <c r="AK37" s="75">
        <v>36</v>
      </c>
      <c r="AL37" s="76" t="s">
        <v>138</v>
      </c>
      <c r="AM37" s="82" t="s">
        <v>405</v>
      </c>
      <c r="AN37" s="76" t="s">
        <v>202</v>
      </c>
      <c r="AO37" s="76" t="s">
        <v>900</v>
      </c>
      <c r="AP37" s="76">
        <v>6</v>
      </c>
      <c r="AQ37" s="76">
        <v>8.5</v>
      </c>
      <c r="AR37" s="82">
        <v>1207</v>
      </c>
      <c r="AS37" s="76">
        <v>6500</v>
      </c>
      <c r="AT37" s="76">
        <v>50000</v>
      </c>
      <c r="AU37" s="76" t="s">
        <v>204</v>
      </c>
      <c r="AV37" s="74"/>
      <c r="AW37" s="75">
        <v>36</v>
      </c>
      <c r="AX37" s="79" t="s">
        <v>139</v>
      </c>
      <c r="AY37" s="79" t="s">
        <v>406</v>
      </c>
      <c r="AZ37" s="79" t="s">
        <v>208</v>
      </c>
      <c r="BA37" s="79" t="s">
        <v>209</v>
      </c>
      <c r="BB37" s="79" t="s">
        <v>397</v>
      </c>
      <c r="BC37" s="79">
        <v>25</v>
      </c>
      <c r="BD37" s="79">
        <v>4000</v>
      </c>
      <c r="BE37" s="79">
        <v>6500</v>
      </c>
      <c r="BF37" s="79">
        <v>100000</v>
      </c>
      <c r="BG37" s="79" t="s">
        <v>211</v>
      </c>
    </row>
    <row r="38" spans="1:59">
      <c r="A38" s="70">
        <v>37</v>
      </c>
      <c r="B38" s="70" t="s">
        <v>119</v>
      </c>
      <c r="C38" s="72" t="s">
        <v>407</v>
      </c>
      <c r="D38" s="72" t="s">
        <v>301</v>
      </c>
      <c r="E38" s="72" t="s">
        <v>89</v>
      </c>
      <c r="F38" s="72" t="s">
        <v>222</v>
      </c>
      <c r="G38" s="72">
        <v>9</v>
      </c>
      <c r="H38" s="72">
        <v>1620</v>
      </c>
      <c r="I38" s="72">
        <v>4000</v>
      </c>
      <c r="J38" s="72">
        <v>50000</v>
      </c>
      <c r="K38" s="72" t="s">
        <v>204</v>
      </c>
      <c r="L38" s="74"/>
      <c r="M38" s="75">
        <v>37</v>
      </c>
      <c r="N38" s="72" t="s">
        <v>120</v>
      </c>
      <c r="O38" s="83" t="s">
        <v>408</v>
      </c>
      <c r="P38" s="72" t="s">
        <v>202</v>
      </c>
      <c r="Q38" s="72" t="s">
        <v>404</v>
      </c>
      <c r="R38" s="84" t="s">
        <v>206</v>
      </c>
      <c r="S38" s="72">
        <v>2.85</v>
      </c>
      <c r="T38" s="83">
        <v>500</v>
      </c>
      <c r="U38" s="83">
        <v>4000</v>
      </c>
      <c r="V38" s="72">
        <v>25000</v>
      </c>
      <c r="W38" s="72" t="s">
        <v>270</v>
      </c>
      <c r="X38" s="74" t="s">
        <v>200</v>
      </c>
      <c r="Y38" s="72">
        <v>37</v>
      </c>
      <c r="Z38" s="72" t="s">
        <v>136</v>
      </c>
      <c r="AA38" s="72" t="s">
        <v>778</v>
      </c>
      <c r="AB38" s="72" t="s">
        <v>381</v>
      </c>
      <c r="AC38" s="72" t="s">
        <v>209</v>
      </c>
      <c r="AD38" s="72" t="s">
        <v>210</v>
      </c>
      <c r="AE38" s="72">
        <v>21</v>
      </c>
      <c r="AF38" s="72">
        <v>4000</v>
      </c>
      <c r="AG38" s="72">
        <v>6500</v>
      </c>
      <c r="AH38" s="72">
        <v>50000</v>
      </c>
      <c r="AI38" s="72" t="s">
        <v>270</v>
      </c>
      <c r="AJ38" s="74" t="s">
        <v>200</v>
      </c>
      <c r="AK38" s="75">
        <v>37</v>
      </c>
      <c r="AL38" s="76" t="s">
        <v>138</v>
      </c>
      <c r="AM38" s="82" t="s">
        <v>409</v>
      </c>
      <c r="AN38" s="76" t="s">
        <v>202</v>
      </c>
      <c r="AO38" s="76" t="s">
        <v>900</v>
      </c>
      <c r="AP38" s="76">
        <v>6</v>
      </c>
      <c r="AQ38" s="76">
        <v>11</v>
      </c>
      <c r="AR38" s="82">
        <v>1474</v>
      </c>
      <c r="AS38" s="76">
        <v>3000</v>
      </c>
      <c r="AT38" s="76">
        <v>50000</v>
      </c>
      <c r="AU38" s="76" t="s">
        <v>204</v>
      </c>
      <c r="AV38" s="74"/>
      <c r="AW38" s="75">
        <v>37</v>
      </c>
      <c r="AX38" s="79" t="s">
        <v>139</v>
      </c>
      <c r="AY38" s="79" t="s">
        <v>410</v>
      </c>
      <c r="AZ38" s="79" t="s">
        <v>208</v>
      </c>
      <c r="BA38" s="79" t="s">
        <v>209</v>
      </c>
      <c r="BB38" s="79" t="s">
        <v>411</v>
      </c>
      <c r="BC38" s="79">
        <v>43</v>
      </c>
      <c r="BD38" s="79">
        <v>6500</v>
      </c>
      <c r="BE38" s="79">
        <v>3000</v>
      </c>
      <c r="BF38" s="79">
        <v>100000</v>
      </c>
      <c r="BG38" s="79" t="s">
        <v>211</v>
      </c>
    </row>
    <row r="39" spans="1:59">
      <c r="A39" s="70">
        <v>38</v>
      </c>
      <c r="B39" s="70" t="s">
        <v>119</v>
      </c>
      <c r="C39" s="72" t="s">
        <v>412</v>
      </c>
      <c r="D39" s="72" t="s">
        <v>301</v>
      </c>
      <c r="E39" s="72" t="s">
        <v>89</v>
      </c>
      <c r="F39" s="72" t="s">
        <v>222</v>
      </c>
      <c r="G39" s="72">
        <v>9</v>
      </c>
      <c r="H39" s="72">
        <v>1620</v>
      </c>
      <c r="I39" s="72">
        <v>6500</v>
      </c>
      <c r="J39" s="72">
        <v>50000</v>
      </c>
      <c r="K39" s="72" t="s">
        <v>204</v>
      </c>
      <c r="L39" s="74"/>
      <c r="M39" s="75">
        <v>38</v>
      </c>
      <c r="N39" s="72" t="s">
        <v>120</v>
      </c>
      <c r="O39" s="83" t="s">
        <v>413</v>
      </c>
      <c r="P39" s="72" t="s">
        <v>202</v>
      </c>
      <c r="Q39" s="72" t="s">
        <v>404</v>
      </c>
      <c r="R39" s="84" t="s">
        <v>206</v>
      </c>
      <c r="S39" s="72">
        <v>2.85</v>
      </c>
      <c r="T39" s="83">
        <v>500</v>
      </c>
      <c r="U39" s="83">
        <v>6500</v>
      </c>
      <c r="V39" s="72">
        <v>25000</v>
      </c>
      <c r="W39" s="72" t="s">
        <v>270</v>
      </c>
      <c r="X39" s="74" t="s">
        <v>200</v>
      </c>
      <c r="Y39" s="72">
        <v>38</v>
      </c>
      <c r="Z39" s="72" t="s">
        <v>136</v>
      </c>
      <c r="AA39" s="72" t="s">
        <v>779</v>
      </c>
      <c r="AB39" s="72" t="s">
        <v>381</v>
      </c>
      <c r="AC39" s="72" t="s">
        <v>268</v>
      </c>
      <c r="AD39" s="72" t="s">
        <v>281</v>
      </c>
      <c r="AE39" s="72">
        <v>33</v>
      </c>
      <c r="AF39" s="72">
        <v>5700</v>
      </c>
      <c r="AG39" s="72">
        <v>6500</v>
      </c>
      <c r="AH39" s="72">
        <v>50000</v>
      </c>
      <c r="AI39" s="72" t="s">
        <v>270</v>
      </c>
      <c r="AJ39" s="74" t="s">
        <v>200</v>
      </c>
      <c r="AK39" s="75">
        <v>38</v>
      </c>
      <c r="AL39" s="76" t="s">
        <v>138</v>
      </c>
      <c r="AM39" s="82" t="s">
        <v>414</v>
      </c>
      <c r="AN39" s="76" t="s">
        <v>202</v>
      </c>
      <c r="AO39" s="76" t="s">
        <v>900</v>
      </c>
      <c r="AP39" s="76">
        <v>6</v>
      </c>
      <c r="AQ39" s="76">
        <v>11</v>
      </c>
      <c r="AR39" s="82">
        <v>1562</v>
      </c>
      <c r="AS39" s="76">
        <v>4000</v>
      </c>
      <c r="AT39" s="76">
        <v>50000</v>
      </c>
      <c r="AU39" s="76" t="s">
        <v>204</v>
      </c>
      <c r="AV39" s="74"/>
      <c r="AW39" s="75">
        <v>38</v>
      </c>
      <c r="AX39" s="79" t="s">
        <v>139</v>
      </c>
      <c r="AY39" s="79" t="s">
        <v>415</v>
      </c>
      <c r="AZ39" s="79" t="s">
        <v>208</v>
      </c>
      <c r="BA39" s="79" t="s">
        <v>209</v>
      </c>
      <c r="BB39" s="79" t="s">
        <v>411</v>
      </c>
      <c r="BC39" s="79">
        <v>43</v>
      </c>
      <c r="BD39" s="79">
        <v>7000</v>
      </c>
      <c r="BE39" s="79">
        <v>4000</v>
      </c>
      <c r="BF39" s="79">
        <v>100000</v>
      </c>
      <c r="BG39" s="79" t="s">
        <v>211</v>
      </c>
    </row>
    <row r="40" spans="1:59">
      <c r="A40" s="70">
        <v>39</v>
      </c>
      <c r="B40" s="70" t="s">
        <v>119</v>
      </c>
      <c r="C40" s="72" t="s">
        <v>416</v>
      </c>
      <c r="D40" s="72" t="s">
        <v>301</v>
      </c>
      <c r="E40" s="72" t="s">
        <v>89</v>
      </c>
      <c r="F40" s="72" t="s">
        <v>232</v>
      </c>
      <c r="G40" s="72">
        <v>8.9</v>
      </c>
      <c r="H40" s="72">
        <v>1620</v>
      </c>
      <c r="I40" s="72">
        <v>3000</v>
      </c>
      <c r="J40" s="72">
        <v>50000</v>
      </c>
      <c r="K40" s="72" t="s">
        <v>204</v>
      </c>
      <c r="L40" s="74"/>
      <c r="M40" s="75">
        <v>39</v>
      </c>
      <c r="N40" s="72" t="s">
        <v>120</v>
      </c>
      <c r="O40" s="83" t="s">
        <v>417</v>
      </c>
      <c r="P40" s="72" t="s">
        <v>202</v>
      </c>
      <c r="Q40" s="72" t="s">
        <v>404</v>
      </c>
      <c r="R40" s="84" t="s">
        <v>206</v>
      </c>
      <c r="S40" s="72">
        <v>5.5</v>
      </c>
      <c r="T40" s="83">
        <v>495</v>
      </c>
      <c r="U40" s="83">
        <v>2700</v>
      </c>
      <c r="V40" s="72">
        <v>15000</v>
      </c>
      <c r="W40" s="72" t="s">
        <v>270</v>
      </c>
      <c r="X40" s="74" t="s">
        <v>200</v>
      </c>
      <c r="Y40" s="72">
        <v>39</v>
      </c>
      <c r="Z40" s="72" t="s">
        <v>136</v>
      </c>
      <c r="AA40" s="72" t="s">
        <v>780</v>
      </c>
      <c r="AB40" s="72" t="s">
        <v>381</v>
      </c>
      <c r="AC40" s="72" t="s">
        <v>209</v>
      </c>
      <c r="AD40" s="72" t="s">
        <v>210</v>
      </c>
      <c r="AE40" s="72">
        <v>27</v>
      </c>
      <c r="AF40" s="72">
        <v>3800</v>
      </c>
      <c r="AG40" s="72">
        <v>6500</v>
      </c>
      <c r="AH40" s="72">
        <v>50000</v>
      </c>
      <c r="AI40" s="72" t="s">
        <v>270</v>
      </c>
      <c r="AJ40" s="74" t="s">
        <v>200</v>
      </c>
      <c r="AK40" s="75">
        <v>39</v>
      </c>
      <c r="AL40" s="76" t="s">
        <v>138</v>
      </c>
      <c r="AM40" s="82" t="s">
        <v>418</v>
      </c>
      <c r="AN40" s="76" t="s">
        <v>202</v>
      </c>
      <c r="AO40" s="76" t="s">
        <v>900</v>
      </c>
      <c r="AP40" s="76">
        <v>6</v>
      </c>
      <c r="AQ40" s="76">
        <v>11</v>
      </c>
      <c r="AR40" s="82">
        <v>1562</v>
      </c>
      <c r="AS40" s="76">
        <v>6500</v>
      </c>
      <c r="AT40" s="76">
        <v>50000</v>
      </c>
      <c r="AU40" s="76" t="s">
        <v>204</v>
      </c>
      <c r="AV40" s="74"/>
      <c r="AW40" s="75">
        <v>39</v>
      </c>
      <c r="AX40" s="70" t="s">
        <v>139</v>
      </c>
      <c r="AY40" s="70" t="s">
        <v>419</v>
      </c>
      <c r="AZ40" s="70" t="s">
        <v>208</v>
      </c>
      <c r="BA40" s="70" t="s">
        <v>209</v>
      </c>
      <c r="BB40" s="70" t="s">
        <v>411</v>
      </c>
      <c r="BC40" s="70">
        <v>43</v>
      </c>
      <c r="BD40" s="70">
        <v>7000</v>
      </c>
      <c r="BE40" s="70">
        <v>6500</v>
      </c>
      <c r="BF40" s="70">
        <v>100000</v>
      </c>
      <c r="BG40" s="70" t="s">
        <v>211</v>
      </c>
    </row>
    <row r="41" spans="1:59">
      <c r="A41" s="70">
        <v>40</v>
      </c>
      <c r="B41" s="70" t="s">
        <v>119</v>
      </c>
      <c r="C41" s="72" t="s">
        <v>420</v>
      </c>
      <c r="D41" s="72" t="s">
        <v>301</v>
      </c>
      <c r="E41" s="72" t="s">
        <v>89</v>
      </c>
      <c r="F41" s="72" t="s">
        <v>232</v>
      </c>
      <c r="G41" s="72">
        <v>8.9</v>
      </c>
      <c r="H41" s="72">
        <v>1800</v>
      </c>
      <c r="I41" s="72">
        <v>4000</v>
      </c>
      <c r="J41" s="72">
        <v>50000</v>
      </c>
      <c r="K41" s="72" t="s">
        <v>204</v>
      </c>
      <c r="L41" s="74"/>
      <c r="M41" s="75">
        <v>40</v>
      </c>
      <c r="N41" s="72" t="s">
        <v>120</v>
      </c>
      <c r="O41" s="83" t="s">
        <v>421</v>
      </c>
      <c r="P41" s="72" t="s">
        <v>202</v>
      </c>
      <c r="Q41" s="72" t="s">
        <v>404</v>
      </c>
      <c r="R41" s="84" t="s">
        <v>206</v>
      </c>
      <c r="S41" s="72">
        <v>5.5</v>
      </c>
      <c r="T41" s="83">
        <v>495</v>
      </c>
      <c r="U41" s="83">
        <v>3000</v>
      </c>
      <c r="V41" s="72">
        <v>15000</v>
      </c>
      <c r="W41" s="72" t="s">
        <v>270</v>
      </c>
      <c r="X41" s="74" t="s">
        <v>200</v>
      </c>
      <c r="Y41" s="72">
        <v>40</v>
      </c>
      <c r="Z41" s="222"/>
      <c r="AA41" s="222" t="s">
        <v>620</v>
      </c>
      <c r="AB41" s="222"/>
      <c r="AC41" s="222"/>
      <c r="AD41" s="222"/>
      <c r="AE41" s="222"/>
      <c r="AF41" s="222"/>
      <c r="AG41" s="222"/>
      <c r="AH41" s="222"/>
      <c r="AI41" s="222"/>
      <c r="AJ41" s="74" t="s">
        <v>200</v>
      </c>
      <c r="AK41" s="75">
        <v>40</v>
      </c>
      <c r="AL41" s="76" t="s">
        <v>138</v>
      </c>
      <c r="AM41" s="82" t="s">
        <v>422</v>
      </c>
      <c r="AN41" s="76" t="s">
        <v>202</v>
      </c>
      <c r="AO41" s="76" t="s">
        <v>901</v>
      </c>
      <c r="AP41" s="76">
        <v>8</v>
      </c>
      <c r="AQ41" s="76">
        <v>14</v>
      </c>
      <c r="AR41" s="82">
        <v>1876</v>
      </c>
      <c r="AS41" s="76">
        <v>3000</v>
      </c>
      <c r="AT41" s="76">
        <v>50000</v>
      </c>
      <c r="AU41" s="76" t="s">
        <v>204</v>
      </c>
      <c r="AV41" s="74"/>
      <c r="AW41" s="75">
        <v>40</v>
      </c>
      <c r="AX41" s="70" t="s">
        <v>139</v>
      </c>
      <c r="AY41" s="70" t="s">
        <v>423</v>
      </c>
      <c r="AZ41" s="70" t="s">
        <v>208</v>
      </c>
      <c r="BA41" s="70" t="s">
        <v>209</v>
      </c>
      <c r="BB41" s="70" t="s">
        <v>424</v>
      </c>
      <c r="BC41" s="70">
        <v>58</v>
      </c>
      <c r="BD41" s="70">
        <v>8700</v>
      </c>
      <c r="BE41" s="70">
        <v>3000</v>
      </c>
      <c r="BF41" s="70">
        <v>100000</v>
      </c>
      <c r="BG41" s="70" t="s">
        <v>211</v>
      </c>
    </row>
    <row r="42" spans="1:59">
      <c r="A42" s="70">
        <v>41</v>
      </c>
      <c r="B42" s="70" t="s">
        <v>119</v>
      </c>
      <c r="C42" s="72" t="s">
        <v>425</v>
      </c>
      <c r="D42" s="72" t="s">
        <v>301</v>
      </c>
      <c r="E42" s="72" t="s">
        <v>89</v>
      </c>
      <c r="F42" s="72" t="s">
        <v>232</v>
      </c>
      <c r="G42" s="72">
        <v>8.9</v>
      </c>
      <c r="H42" s="72">
        <v>1800</v>
      </c>
      <c r="I42" s="72">
        <v>6500</v>
      </c>
      <c r="J42" s="72">
        <v>50000</v>
      </c>
      <c r="K42" s="72" t="s">
        <v>204</v>
      </c>
      <c r="L42" s="74"/>
      <c r="M42" s="75">
        <v>41</v>
      </c>
      <c r="N42" s="72" t="s">
        <v>120</v>
      </c>
      <c r="O42" s="83" t="s">
        <v>426</v>
      </c>
      <c r="P42" s="72" t="s">
        <v>202</v>
      </c>
      <c r="Q42" s="72" t="s">
        <v>404</v>
      </c>
      <c r="R42" s="84" t="s">
        <v>206</v>
      </c>
      <c r="S42" s="72">
        <v>5.5</v>
      </c>
      <c r="T42" s="83">
        <v>495</v>
      </c>
      <c r="U42" s="83">
        <v>4000</v>
      </c>
      <c r="V42" s="72">
        <v>15000</v>
      </c>
      <c r="W42" s="72" t="s">
        <v>270</v>
      </c>
      <c r="X42" s="74" t="s">
        <v>200</v>
      </c>
      <c r="Y42" s="72">
        <v>41</v>
      </c>
      <c r="Z42" s="222"/>
      <c r="AA42" s="222" t="s">
        <v>620</v>
      </c>
      <c r="AB42" s="222"/>
      <c r="AC42" s="222"/>
      <c r="AD42" s="222"/>
      <c r="AE42" s="222"/>
      <c r="AF42" s="222"/>
      <c r="AG42" s="222"/>
      <c r="AH42" s="222"/>
      <c r="AI42" s="222"/>
      <c r="AJ42" s="74" t="s">
        <v>200</v>
      </c>
      <c r="AK42" s="75">
        <v>41</v>
      </c>
      <c r="AL42" s="76" t="s">
        <v>138</v>
      </c>
      <c r="AM42" s="82" t="s">
        <v>427</v>
      </c>
      <c r="AN42" s="76" t="s">
        <v>202</v>
      </c>
      <c r="AO42" s="76" t="s">
        <v>901</v>
      </c>
      <c r="AP42" s="76">
        <v>8</v>
      </c>
      <c r="AQ42" s="76">
        <v>14</v>
      </c>
      <c r="AR42" s="82">
        <v>1988</v>
      </c>
      <c r="AS42" s="76">
        <v>4000</v>
      </c>
      <c r="AT42" s="76">
        <v>50000</v>
      </c>
      <c r="AU42" s="76" t="s">
        <v>204</v>
      </c>
      <c r="AV42" s="74"/>
      <c r="AW42" s="75">
        <v>41</v>
      </c>
      <c r="AX42" s="70" t="s">
        <v>139</v>
      </c>
      <c r="AY42" s="70" t="s">
        <v>428</v>
      </c>
      <c r="AZ42" s="70" t="s">
        <v>208</v>
      </c>
      <c r="BA42" s="70" t="s">
        <v>209</v>
      </c>
      <c r="BB42" s="70" t="s">
        <v>424</v>
      </c>
      <c r="BC42" s="70">
        <v>58</v>
      </c>
      <c r="BD42" s="70">
        <v>9280</v>
      </c>
      <c r="BE42" s="70">
        <v>4000</v>
      </c>
      <c r="BF42" s="70">
        <v>100000</v>
      </c>
      <c r="BG42" s="70" t="s">
        <v>211</v>
      </c>
    </row>
    <row r="43" spans="1:59">
      <c r="A43" s="70">
        <v>42</v>
      </c>
      <c r="B43" s="70" t="s">
        <v>119</v>
      </c>
      <c r="C43" s="72" t="s">
        <v>429</v>
      </c>
      <c r="D43" s="72" t="s">
        <v>301</v>
      </c>
      <c r="E43" s="72" t="s">
        <v>89</v>
      </c>
      <c r="F43" s="72" t="s">
        <v>243</v>
      </c>
      <c r="G43" s="72">
        <v>20</v>
      </c>
      <c r="H43" s="72">
        <v>2160</v>
      </c>
      <c r="I43" s="72">
        <v>3000</v>
      </c>
      <c r="J43" s="72">
        <v>50000</v>
      </c>
      <c r="K43" s="72" t="s">
        <v>204</v>
      </c>
      <c r="L43" s="74"/>
      <c r="M43" s="75">
        <v>42</v>
      </c>
      <c r="N43" s="72" t="s">
        <v>120</v>
      </c>
      <c r="O43" s="83" t="s">
        <v>430</v>
      </c>
      <c r="P43" s="72" t="s">
        <v>202</v>
      </c>
      <c r="Q43" s="72" t="s">
        <v>404</v>
      </c>
      <c r="R43" s="84" t="s">
        <v>206</v>
      </c>
      <c r="S43" s="72">
        <v>5.5</v>
      </c>
      <c r="T43" s="83">
        <v>495</v>
      </c>
      <c r="U43" s="83">
        <v>6500</v>
      </c>
      <c r="V43" s="72">
        <v>15000</v>
      </c>
      <c r="W43" s="72" t="s">
        <v>270</v>
      </c>
      <c r="X43" s="74" t="s">
        <v>200</v>
      </c>
      <c r="Y43" s="72">
        <v>42</v>
      </c>
      <c r="Z43" s="222"/>
      <c r="AA43" s="222" t="s">
        <v>620</v>
      </c>
      <c r="AB43" s="222"/>
      <c r="AC43" s="222"/>
      <c r="AD43" s="222"/>
      <c r="AE43" s="222"/>
      <c r="AF43" s="222"/>
      <c r="AG43" s="222"/>
      <c r="AH43" s="222"/>
      <c r="AI43" s="222"/>
      <c r="AJ43" s="74" t="s">
        <v>200</v>
      </c>
      <c r="AK43" s="75">
        <v>42</v>
      </c>
      <c r="AL43" s="76" t="s">
        <v>138</v>
      </c>
      <c r="AM43" s="82" t="s">
        <v>431</v>
      </c>
      <c r="AN43" s="76" t="s">
        <v>202</v>
      </c>
      <c r="AO43" s="76" t="s">
        <v>901</v>
      </c>
      <c r="AP43" s="76">
        <v>8</v>
      </c>
      <c r="AQ43" s="76">
        <v>14</v>
      </c>
      <c r="AR43" s="82">
        <v>1988</v>
      </c>
      <c r="AS43" s="76">
        <v>6500</v>
      </c>
      <c r="AT43" s="76">
        <v>50000</v>
      </c>
      <c r="AU43" s="76" t="s">
        <v>204</v>
      </c>
      <c r="AV43" s="74"/>
      <c r="AW43" s="75">
        <v>42</v>
      </c>
      <c r="AX43" s="70" t="s">
        <v>139</v>
      </c>
      <c r="AY43" s="70" t="s">
        <v>432</v>
      </c>
      <c r="AZ43" s="70" t="s">
        <v>208</v>
      </c>
      <c r="BA43" s="70" t="s">
        <v>209</v>
      </c>
      <c r="BB43" s="70" t="s">
        <v>424</v>
      </c>
      <c r="BC43" s="70">
        <v>58</v>
      </c>
      <c r="BD43" s="70">
        <v>9280</v>
      </c>
      <c r="BE43" s="70">
        <v>6500</v>
      </c>
      <c r="BF43" s="70">
        <v>100000</v>
      </c>
      <c r="BG43" s="70" t="s">
        <v>211</v>
      </c>
    </row>
    <row r="44" spans="1:59">
      <c r="A44" s="70">
        <v>43</v>
      </c>
      <c r="B44" s="70" t="s">
        <v>119</v>
      </c>
      <c r="C44" s="72" t="s">
        <v>433</v>
      </c>
      <c r="D44" s="72" t="s">
        <v>301</v>
      </c>
      <c r="E44" s="72" t="s">
        <v>89</v>
      </c>
      <c r="F44" s="72" t="s">
        <v>243</v>
      </c>
      <c r="G44" s="72">
        <v>20</v>
      </c>
      <c r="H44" s="72">
        <v>2400</v>
      </c>
      <c r="I44" s="72">
        <v>4000</v>
      </c>
      <c r="J44" s="72">
        <v>50000</v>
      </c>
      <c r="K44" s="72" t="s">
        <v>204</v>
      </c>
      <c r="L44" s="74"/>
      <c r="M44" s="75">
        <v>43</v>
      </c>
      <c r="N44" s="72" t="s">
        <v>120</v>
      </c>
      <c r="O44" s="83" t="s">
        <v>434</v>
      </c>
      <c r="P44" s="72" t="s">
        <v>202</v>
      </c>
      <c r="Q44" s="72" t="s">
        <v>435</v>
      </c>
      <c r="R44" s="84" t="s">
        <v>206</v>
      </c>
      <c r="S44" s="72">
        <v>5</v>
      </c>
      <c r="T44" s="83">
        <v>400</v>
      </c>
      <c r="U44" s="83">
        <v>2700</v>
      </c>
      <c r="V44" s="72">
        <v>30000</v>
      </c>
      <c r="W44" s="72" t="s">
        <v>270</v>
      </c>
      <c r="X44" s="74" t="s">
        <v>200</v>
      </c>
      <c r="Y44" s="72">
        <v>43</v>
      </c>
      <c r="Z44" s="253" t="s">
        <v>136</v>
      </c>
      <c r="AA44" s="253" t="s">
        <v>970</v>
      </c>
      <c r="AB44" s="253" t="s">
        <v>202</v>
      </c>
      <c r="AC44" s="253" t="s">
        <v>209</v>
      </c>
      <c r="AD44" s="253" t="s">
        <v>210</v>
      </c>
      <c r="AE44" s="253">
        <v>19</v>
      </c>
      <c r="AF44" s="253">
        <v>3800</v>
      </c>
      <c r="AG44" s="253">
        <v>4000</v>
      </c>
      <c r="AH44" s="253">
        <v>50000</v>
      </c>
      <c r="AI44" s="253" t="s">
        <v>204</v>
      </c>
      <c r="AJ44" s="74" t="s">
        <v>200</v>
      </c>
      <c r="AK44" s="75">
        <v>43</v>
      </c>
      <c r="AL44" s="76" t="s">
        <v>138</v>
      </c>
      <c r="AM44" s="82" t="s">
        <v>436</v>
      </c>
      <c r="AN44" s="76" t="s">
        <v>202</v>
      </c>
      <c r="AO44" s="76" t="s">
        <v>901</v>
      </c>
      <c r="AP44" s="76">
        <v>8</v>
      </c>
      <c r="AQ44" s="76">
        <v>17</v>
      </c>
      <c r="AR44" s="82">
        <v>2278</v>
      </c>
      <c r="AS44" s="76">
        <v>3000</v>
      </c>
      <c r="AT44" s="76">
        <v>50000</v>
      </c>
      <c r="AU44" s="76" t="s">
        <v>204</v>
      </c>
      <c r="AV44" s="74"/>
      <c r="AW44" s="75">
        <v>43</v>
      </c>
      <c r="AX44" s="70" t="s">
        <v>139</v>
      </c>
      <c r="AY44" s="70" t="s">
        <v>437</v>
      </c>
      <c r="AZ44" s="70" t="s">
        <v>208</v>
      </c>
      <c r="BA44" s="70" t="s">
        <v>209</v>
      </c>
      <c r="BB44" s="70" t="s">
        <v>424</v>
      </c>
      <c r="BC44" s="70">
        <v>70</v>
      </c>
      <c r="BD44" s="70">
        <v>10500</v>
      </c>
      <c r="BE44" s="70">
        <v>3000</v>
      </c>
      <c r="BF44" s="70">
        <v>100000</v>
      </c>
      <c r="BG44" s="70" t="s">
        <v>211</v>
      </c>
    </row>
    <row r="45" spans="1:59">
      <c r="A45" s="70">
        <v>44</v>
      </c>
      <c r="B45" s="70" t="s">
        <v>119</v>
      </c>
      <c r="C45" s="72" t="s">
        <v>438</v>
      </c>
      <c r="D45" s="72" t="s">
        <v>301</v>
      </c>
      <c r="E45" s="72" t="s">
        <v>89</v>
      </c>
      <c r="F45" s="72" t="s">
        <v>243</v>
      </c>
      <c r="G45" s="72">
        <v>20</v>
      </c>
      <c r="H45" s="72">
        <v>2400</v>
      </c>
      <c r="I45" s="72">
        <v>6500</v>
      </c>
      <c r="J45" s="72">
        <v>50000</v>
      </c>
      <c r="K45" s="72" t="s">
        <v>204</v>
      </c>
      <c r="L45" s="74"/>
      <c r="M45" s="75">
        <v>44</v>
      </c>
      <c r="N45" s="72" t="s">
        <v>120</v>
      </c>
      <c r="O45" s="83" t="s">
        <v>439</v>
      </c>
      <c r="P45" s="72" t="s">
        <v>202</v>
      </c>
      <c r="Q45" s="72" t="s">
        <v>435</v>
      </c>
      <c r="R45" s="84" t="s">
        <v>206</v>
      </c>
      <c r="S45" s="72">
        <v>5</v>
      </c>
      <c r="T45" s="72">
        <v>400</v>
      </c>
      <c r="U45" s="72">
        <v>3000</v>
      </c>
      <c r="V45" s="72">
        <v>30000</v>
      </c>
      <c r="W45" s="72" t="s">
        <v>270</v>
      </c>
      <c r="X45" s="74" t="s">
        <v>200</v>
      </c>
      <c r="Y45" s="72">
        <v>44</v>
      </c>
      <c r="Z45" s="253" t="s">
        <v>136</v>
      </c>
      <c r="AA45" s="253" t="s">
        <v>971</v>
      </c>
      <c r="AB45" s="253" t="s">
        <v>202</v>
      </c>
      <c r="AC45" s="253" t="s">
        <v>209</v>
      </c>
      <c r="AD45" s="253" t="s">
        <v>210</v>
      </c>
      <c r="AE45" s="253">
        <v>20</v>
      </c>
      <c r="AF45" s="253">
        <v>4000</v>
      </c>
      <c r="AG45" s="253">
        <v>4000</v>
      </c>
      <c r="AH45" s="253">
        <v>50000</v>
      </c>
      <c r="AI45" s="253" t="s">
        <v>211</v>
      </c>
      <c r="AJ45" s="74" t="s">
        <v>200</v>
      </c>
      <c r="AK45" s="75">
        <v>44</v>
      </c>
      <c r="AL45" s="76" t="s">
        <v>138</v>
      </c>
      <c r="AM45" s="82" t="s">
        <v>440</v>
      </c>
      <c r="AN45" s="76" t="s">
        <v>202</v>
      </c>
      <c r="AO45" s="76" t="s">
        <v>901</v>
      </c>
      <c r="AP45" s="76">
        <v>8</v>
      </c>
      <c r="AQ45" s="76">
        <v>17</v>
      </c>
      <c r="AR45" s="82">
        <v>2414</v>
      </c>
      <c r="AS45" s="76">
        <v>4000</v>
      </c>
      <c r="AT45" s="76">
        <v>50000</v>
      </c>
      <c r="AU45" s="76" t="s">
        <v>204</v>
      </c>
      <c r="AV45" s="74"/>
      <c r="AW45" s="75">
        <v>44</v>
      </c>
      <c r="AX45" s="70" t="s">
        <v>139</v>
      </c>
      <c r="AY45" s="70" t="s">
        <v>441</v>
      </c>
      <c r="AZ45" s="70" t="s">
        <v>208</v>
      </c>
      <c r="BA45" s="70" t="s">
        <v>209</v>
      </c>
      <c r="BB45" s="70" t="s">
        <v>424</v>
      </c>
      <c r="BC45" s="70">
        <v>70</v>
      </c>
      <c r="BD45" s="70">
        <v>11200</v>
      </c>
      <c r="BE45" s="70">
        <v>4000</v>
      </c>
      <c r="BF45" s="70">
        <v>100000</v>
      </c>
      <c r="BG45" s="70" t="s">
        <v>211</v>
      </c>
    </row>
    <row r="46" spans="1:59">
      <c r="A46" s="70">
        <v>45</v>
      </c>
      <c r="B46" s="70" t="s">
        <v>119</v>
      </c>
      <c r="C46" s="72" t="s">
        <v>442</v>
      </c>
      <c r="D46" s="72" t="s">
        <v>301</v>
      </c>
      <c r="E46" s="72" t="s">
        <v>89</v>
      </c>
      <c r="F46" s="72" t="s">
        <v>232</v>
      </c>
      <c r="G46" s="72">
        <v>13</v>
      </c>
      <c r="H46" s="72">
        <v>2100</v>
      </c>
      <c r="I46" s="72">
        <v>4000</v>
      </c>
      <c r="J46" s="72">
        <v>50000</v>
      </c>
      <c r="K46" s="72" t="s">
        <v>204</v>
      </c>
      <c r="L46" s="74"/>
      <c r="M46" s="75">
        <v>45</v>
      </c>
      <c r="N46" s="72" t="s">
        <v>120</v>
      </c>
      <c r="O46" s="83" t="s">
        <v>443</v>
      </c>
      <c r="P46" s="72" t="s">
        <v>202</v>
      </c>
      <c r="Q46" s="72" t="s">
        <v>435</v>
      </c>
      <c r="R46" s="84" t="s">
        <v>206</v>
      </c>
      <c r="S46" s="72">
        <v>5</v>
      </c>
      <c r="T46" s="72">
        <v>400</v>
      </c>
      <c r="U46" s="72">
        <v>4000</v>
      </c>
      <c r="V46" s="72">
        <v>30000</v>
      </c>
      <c r="W46" s="72" t="s">
        <v>270</v>
      </c>
      <c r="X46" s="74" t="s">
        <v>200</v>
      </c>
      <c r="Y46" s="72">
        <v>45</v>
      </c>
      <c r="Z46" s="253" t="s">
        <v>137</v>
      </c>
      <c r="AA46" s="253" t="s">
        <v>973</v>
      </c>
      <c r="AB46" s="253" t="s">
        <v>208</v>
      </c>
      <c r="AC46" s="252" t="s">
        <v>213</v>
      </c>
      <c r="AD46" s="253" t="s">
        <v>230</v>
      </c>
      <c r="AE46" s="253">
        <v>18</v>
      </c>
      <c r="AF46" s="253">
        <v>1620</v>
      </c>
      <c r="AG46" s="253">
        <v>4000</v>
      </c>
      <c r="AH46" s="253">
        <v>25000</v>
      </c>
      <c r="AI46" s="253" t="s">
        <v>270</v>
      </c>
      <c r="AJ46" s="74" t="s">
        <v>200</v>
      </c>
      <c r="AK46" s="75">
        <v>45</v>
      </c>
      <c r="AL46" s="76" t="s">
        <v>138</v>
      </c>
      <c r="AM46" s="82" t="s">
        <v>444</v>
      </c>
      <c r="AN46" s="76" t="s">
        <v>202</v>
      </c>
      <c r="AO46" s="76" t="s">
        <v>901</v>
      </c>
      <c r="AP46" s="76">
        <v>8</v>
      </c>
      <c r="AQ46" s="76">
        <v>17</v>
      </c>
      <c r="AR46" s="82">
        <v>2414</v>
      </c>
      <c r="AS46" s="76">
        <v>6500</v>
      </c>
      <c r="AT46" s="76">
        <v>50000</v>
      </c>
      <c r="AU46" s="76" t="s">
        <v>204</v>
      </c>
      <c r="AV46" s="74"/>
      <c r="AW46" s="75">
        <v>45</v>
      </c>
      <c r="AX46" s="70" t="s">
        <v>139</v>
      </c>
      <c r="AY46" s="70" t="s">
        <v>445</v>
      </c>
      <c r="AZ46" s="70" t="s">
        <v>208</v>
      </c>
      <c r="BA46" s="70" t="s">
        <v>209</v>
      </c>
      <c r="BB46" s="70" t="s">
        <v>424</v>
      </c>
      <c r="BC46" s="70">
        <v>70</v>
      </c>
      <c r="BD46" s="70">
        <v>11200</v>
      </c>
      <c r="BE46" s="70">
        <v>6500</v>
      </c>
      <c r="BF46" s="70">
        <v>100000</v>
      </c>
      <c r="BG46" s="70" t="s">
        <v>211</v>
      </c>
    </row>
    <row r="47" spans="1:59">
      <c r="A47" s="70">
        <v>46</v>
      </c>
      <c r="B47" s="70" t="s">
        <v>119</v>
      </c>
      <c r="C47" s="72" t="s">
        <v>446</v>
      </c>
      <c r="D47" s="72" t="s">
        <v>301</v>
      </c>
      <c r="E47" s="72" t="s">
        <v>89</v>
      </c>
      <c r="F47" s="72" t="s">
        <v>232</v>
      </c>
      <c r="G47" s="72">
        <v>13</v>
      </c>
      <c r="H47" s="72">
        <v>2100</v>
      </c>
      <c r="I47" s="72">
        <v>6500</v>
      </c>
      <c r="J47" s="72">
        <v>50000</v>
      </c>
      <c r="K47" s="72" t="s">
        <v>204</v>
      </c>
      <c r="L47" s="74"/>
      <c r="M47" s="75">
        <v>46</v>
      </c>
      <c r="N47" s="72" t="s">
        <v>120</v>
      </c>
      <c r="O47" s="83" t="s">
        <v>447</v>
      </c>
      <c r="P47" s="72" t="s">
        <v>202</v>
      </c>
      <c r="Q47" s="72" t="s">
        <v>435</v>
      </c>
      <c r="R47" s="84" t="s">
        <v>206</v>
      </c>
      <c r="S47" s="72">
        <v>5</v>
      </c>
      <c r="T47" s="72">
        <v>400</v>
      </c>
      <c r="U47" s="72">
        <v>6500</v>
      </c>
      <c r="V47" s="72">
        <v>30000</v>
      </c>
      <c r="W47" s="72" t="s">
        <v>270</v>
      </c>
      <c r="X47" s="74" t="s">
        <v>200</v>
      </c>
      <c r="Y47" s="72">
        <v>46</v>
      </c>
      <c r="Z47" s="253" t="s">
        <v>137</v>
      </c>
      <c r="AA47" s="253" t="s">
        <v>974</v>
      </c>
      <c r="AB47" s="253" t="s">
        <v>208</v>
      </c>
      <c r="AC47" s="252" t="s">
        <v>213</v>
      </c>
      <c r="AD47" s="253" t="s">
        <v>262</v>
      </c>
      <c r="AE47" s="253">
        <v>24</v>
      </c>
      <c r="AF47" s="253">
        <v>2160</v>
      </c>
      <c r="AG47" s="253">
        <v>4000</v>
      </c>
      <c r="AH47" s="253">
        <v>25000</v>
      </c>
      <c r="AI47" s="253" t="s">
        <v>270</v>
      </c>
      <c r="AJ47" s="74" t="s">
        <v>200</v>
      </c>
      <c r="AK47" s="75">
        <v>46</v>
      </c>
      <c r="AL47" s="76" t="s">
        <v>138</v>
      </c>
      <c r="AM47" s="82" t="s">
        <v>448</v>
      </c>
      <c r="AN47" s="76" t="s">
        <v>202</v>
      </c>
      <c r="AO47" s="76" t="s">
        <v>901</v>
      </c>
      <c r="AP47" s="76">
        <v>8</v>
      </c>
      <c r="AQ47" s="76">
        <v>22</v>
      </c>
      <c r="AR47" s="82">
        <v>2948</v>
      </c>
      <c r="AS47" s="76">
        <v>3000</v>
      </c>
      <c r="AT47" s="76">
        <v>50000</v>
      </c>
      <c r="AU47" s="76" t="s">
        <v>204</v>
      </c>
      <c r="AV47" s="74"/>
      <c r="AW47" s="75">
        <v>46</v>
      </c>
      <c r="AX47" s="70" t="s">
        <v>139</v>
      </c>
      <c r="AY47" s="70" t="s">
        <v>449</v>
      </c>
      <c r="AZ47" s="70" t="s">
        <v>208</v>
      </c>
      <c r="BA47" s="70" t="s">
        <v>209</v>
      </c>
      <c r="BB47" s="70" t="s">
        <v>450</v>
      </c>
      <c r="BC47" s="70">
        <v>108</v>
      </c>
      <c r="BD47" s="70">
        <v>16200</v>
      </c>
      <c r="BE47" s="70">
        <v>3000</v>
      </c>
      <c r="BF47" s="70">
        <v>100000</v>
      </c>
      <c r="BG47" s="70" t="s">
        <v>211</v>
      </c>
    </row>
    <row r="48" spans="1:59">
      <c r="A48" s="70">
        <v>47</v>
      </c>
      <c r="B48" s="70" t="s">
        <v>119</v>
      </c>
      <c r="C48" s="72" t="s">
        <v>451</v>
      </c>
      <c r="D48" s="72" t="s">
        <v>301</v>
      </c>
      <c r="E48" s="72" t="s">
        <v>94</v>
      </c>
      <c r="F48" s="72" t="s">
        <v>203</v>
      </c>
      <c r="G48" s="72">
        <v>7.9</v>
      </c>
      <c r="H48" s="72">
        <v>1080</v>
      </c>
      <c r="I48" s="72">
        <v>3000</v>
      </c>
      <c r="J48" s="72">
        <v>50000</v>
      </c>
      <c r="K48" s="72" t="s">
        <v>204</v>
      </c>
      <c r="L48" s="74"/>
      <c r="M48" s="75">
        <v>47</v>
      </c>
      <c r="N48" s="72" t="s">
        <v>120</v>
      </c>
      <c r="O48" s="83" t="s">
        <v>452</v>
      </c>
      <c r="P48" s="72" t="s">
        <v>202</v>
      </c>
      <c r="Q48" s="72" t="s">
        <v>453</v>
      </c>
      <c r="R48" s="84" t="s">
        <v>206</v>
      </c>
      <c r="S48" s="72">
        <v>3</v>
      </c>
      <c r="T48" s="72">
        <v>300</v>
      </c>
      <c r="U48" s="72">
        <v>3000</v>
      </c>
      <c r="V48" s="72">
        <v>30000</v>
      </c>
      <c r="W48" s="72" t="s">
        <v>270</v>
      </c>
      <c r="X48" s="74" t="s">
        <v>200</v>
      </c>
      <c r="Y48" s="72">
        <v>47</v>
      </c>
      <c r="Z48" s="248" t="s">
        <v>200</v>
      </c>
      <c r="AA48" s="248"/>
      <c r="AB48" s="248" t="s">
        <v>200</v>
      </c>
      <c r="AC48" s="248" t="s">
        <v>200</v>
      </c>
      <c r="AD48" s="248" t="s">
        <v>200</v>
      </c>
      <c r="AE48" s="248" t="s">
        <v>200</v>
      </c>
      <c r="AF48" s="248" t="s">
        <v>200</v>
      </c>
      <c r="AG48" s="248" t="s">
        <v>200</v>
      </c>
      <c r="AH48" s="248" t="s">
        <v>200</v>
      </c>
      <c r="AI48" s="248"/>
      <c r="AJ48" s="74" t="s">
        <v>200</v>
      </c>
      <c r="AK48" s="75">
        <v>47</v>
      </c>
      <c r="AL48" s="76" t="s">
        <v>138</v>
      </c>
      <c r="AM48" s="82" t="s">
        <v>454</v>
      </c>
      <c r="AN48" s="76" t="s">
        <v>202</v>
      </c>
      <c r="AO48" s="76" t="s">
        <v>901</v>
      </c>
      <c r="AP48" s="76">
        <v>8</v>
      </c>
      <c r="AQ48" s="76">
        <v>22</v>
      </c>
      <c r="AR48" s="82">
        <v>3124</v>
      </c>
      <c r="AS48" s="76">
        <v>4000</v>
      </c>
      <c r="AT48" s="76">
        <v>50000</v>
      </c>
      <c r="AU48" s="76" t="s">
        <v>204</v>
      </c>
      <c r="AV48" s="74"/>
      <c r="AW48" s="75">
        <v>47</v>
      </c>
      <c r="AX48" s="70" t="s">
        <v>139</v>
      </c>
      <c r="AY48" s="70" t="s">
        <v>455</v>
      </c>
      <c r="AZ48" s="70" t="s">
        <v>208</v>
      </c>
      <c r="BA48" s="70" t="s">
        <v>209</v>
      </c>
      <c r="BB48" s="70" t="s">
        <v>450</v>
      </c>
      <c r="BC48" s="70">
        <v>108</v>
      </c>
      <c r="BD48" s="70">
        <v>17280</v>
      </c>
      <c r="BE48" s="70">
        <v>4000</v>
      </c>
      <c r="BF48" s="70">
        <v>100000</v>
      </c>
      <c r="BG48" s="70" t="s">
        <v>211</v>
      </c>
    </row>
    <row r="49" spans="1:59">
      <c r="A49" s="70">
        <v>48</v>
      </c>
      <c r="B49" s="70" t="s">
        <v>119</v>
      </c>
      <c r="C49" s="72" t="s">
        <v>456</v>
      </c>
      <c r="D49" s="72" t="s">
        <v>301</v>
      </c>
      <c r="E49" s="72" t="s">
        <v>94</v>
      </c>
      <c r="F49" s="72" t="s">
        <v>203</v>
      </c>
      <c r="G49" s="72">
        <v>7.9</v>
      </c>
      <c r="H49" s="72">
        <v>1200</v>
      </c>
      <c r="I49" s="72">
        <v>4000</v>
      </c>
      <c r="J49" s="72">
        <v>50000</v>
      </c>
      <c r="K49" s="72" t="s">
        <v>204</v>
      </c>
      <c r="L49" s="74"/>
      <c r="M49" s="75">
        <v>48</v>
      </c>
      <c r="N49" s="72" t="s">
        <v>120</v>
      </c>
      <c r="O49" s="83" t="s">
        <v>457</v>
      </c>
      <c r="P49" s="72" t="s">
        <v>202</v>
      </c>
      <c r="Q49" s="72" t="s">
        <v>453</v>
      </c>
      <c r="R49" s="84" t="s">
        <v>206</v>
      </c>
      <c r="S49" s="72">
        <v>3</v>
      </c>
      <c r="T49" s="72">
        <v>300</v>
      </c>
      <c r="U49" s="72">
        <v>6500</v>
      </c>
      <c r="V49" s="72">
        <v>30000</v>
      </c>
      <c r="W49" s="72" t="s">
        <v>270</v>
      </c>
      <c r="X49" s="74" t="s">
        <v>200</v>
      </c>
      <c r="Y49" s="72">
        <v>48</v>
      </c>
      <c r="Z49" s="248" t="s">
        <v>200</v>
      </c>
      <c r="AA49" s="248"/>
      <c r="AB49" s="248" t="s">
        <v>200</v>
      </c>
      <c r="AC49" s="248" t="s">
        <v>200</v>
      </c>
      <c r="AD49" s="248" t="s">
        <v>200</v>
      </c>
      <c r="AE49" s="248" t="s">
        <v>200</v>
      </c>
      <c r="AF49" s="248" t="s">
        <v>200</v>
      </c>
      <c r="AG49" s="248" t="s">
        <v>200</v>
      </c>
      <c r="AH49" s="248" t="s">
        <v>200</v>
      </c>
      <c r="AI49" s="248"/>
      <c r="AJ49" s="74" t="s">
        <v>200</v>
      </c>
      <c r="AK49" s="75">
        <v>48</v>
      </c>
      <c r="AL49" s="76" t="s">
        <v>138</v>
      </c>
      <c r="AM49" s="82" t="s">
        <v>458</v>
      </c>
      <c r="AN49" s="76" t="s">
        <v>202</v>
      </c>
      <c r="AO49" s="76" t="s">
        <v>901</v>
      </c>
      <c r="AP49" s="76">
        <v>8</v>
      </c>
      <c r="AQ49" s="76">
        <v>22</v>
      </c>
      <c r="AR49" s="82">
        <v>3124</v>
      </c>
      <c r="AS49" s="76">
        <v>6500</v>
      </c>
      <c r="AT49" s="76">
        <v>50000</v>
      </c>
      <c r="AU49" s="76" t="s">
        <v>204</v>
      </c>
      <c r="AV49" s="74"/>
      <c r="AW49" s="75">
        <v>48</v>
      </c>
      <c r="AX49" s="70" t="s">
        <v>139</v>
      </c>
      <c r="AY49" s="70" t="s">
        <v>459</v>
      </c>
      <c r="AZ49" s="70" t="s">
        <v>208</v>
      </c>
      <c r="BA49" s="70" t="s">
        <v>209</v>
      </c>
      <c r="BB49" s="70" t="s">
        <v>450</v>
      </c>
      <c r="BC49" s="70">
        <v>108</v>
      </c>
      <c r="BD49" s="70">
        <v>17280</v>
      </c>
      <c r="BE49" s="70">
        <v>6500</v>
      </c>
      <c r="BF49" s="70">
        <v>100000</v>
      </c>
      <c r="BG49" s="70" t="s">
        <v>211</v>
      </c>
    </row>
    <row r="50" spans="1:59">
      <c r="A50" s="70">
        <v>49</v>
      </c>
      <c r="B50" s="70" t="s">
        <v>119</v>
      </c>
      <c r="C50" s="72" t="s">
        <v>460</v>
      </c>
      <c r="D50" s="72" t="s">
        <v>301</v>
      </c>
      <c r="E50" s="72" t="s">
        <v>94</v>
      </c>
      <c r="F50" s="72" t="s">
        <v>203</v>
      </c>
      <c r="G50" s="72">
        <v>7.9</v>
      </c>
      <c r="H50" s="72">
        <v>1200</v>
      </c>
      <c r="I50" s="72">
        <v>6500</v>
      </c>
      <c r="J50" s="72">
        <v>50000</v>
      </c>
      <c r="K50" s="72" t="s">
        <v>204</v>
      </c>
      <c r="L50" s="74"/>
      <c r="M50" s="75">
        <v>49</v>
      </c>
      <c r="N50" s="72" t="s">
        <v>135</v>
      </c>
      <c r="O50" s="83" t="s">
        <v>461</v>
      </c>
      <c r="P50" s="72" t="s">
        <v>202</v>
      </c>
      <c r="Q50" s="72" t="s">
        <v>104</v>
      </c>
      <c r="R50" s="84" t="s">
        <v>206</v>
      </c>
      <c r="S50" s="72">
        <v>25</v>
      </c>
      <c r="T50" s="72">
        <v>3950</v>
      </c>
      <c r="U50" s="72">
        <v>2200</v>
      </c>
      <c r="V50" s="72">
        <v>50000</v>
      </c>
      <c r="W50" s="72" t="s">
        <v>204</v>
      </c>
      <c r="X50" s="74" t="s">
        <v>200</v>
      </c>
      <c r="Y50" s="72">
        <v>49</v>
      </c>
      <c r="Z50" s="248" t="s">
        <v>200</v>
      </c>
      <c r="AA50" s="248"/>
      <c r="AB50" s="248" t="s">
        <v>200</v>
      </c>
      <c r="AC50" s="248" t="s">
        <v>200</v>
      </c>
      <c r="AD50" s="248" t="s">
        <v>200</v>
      </c>
      <c r="AE50" s="248" t="s">
        <v>200</v>
      </c>
      <c r="AF50" s="248" t="s">
        <v>200</v>
      </c>
      <c r="AG50" s="248" t="s">
        <v>200</v>
      </c>
      <c r="AH50" s="248" t="s">
        <v>200</v>
      </c>
      <c r="AI50" s="248"/>
      <c r="AJ50" s="74" t="s">
        <v>200</v>
      </c>
      <c r="AK50" s="75">
        <v>49</v>
      </c>
      <c r="AL50" s="76" t="s">
        <v>138</v>
      </c>
      <c r="AM50" s="82" t="s">
        <v>462</v>
      </c>
      <c r="AN50" s="76" t="s">
        <v>202</v>
      </c>
      <c r="AO50" s="76" t="s">
        <v>901</v>
      </c>
      <c r="AP50" s="76">
        <v>8</v>
      </c>
      <c r="AQ50" s="76">
        <v>27</v>
      </c>
      <c r="AR50" s="82">
        <v>3618</v>
      </c>
      <c r="AS50" s="76">
        <v>3000</v>
      </c>
      <c r="AT50" s="76">
        <v>50000</v>
      </c>
      <c r="AU50" s="76" t="s">
        <v>204</v>
      </c>
      <c r="AV50" s="74"/>
      <c r="AW50" s="75">
        <v>49</v>
      </c>
      <c r="AX50" s="70" t="s">
        <v>139</v>
      </c>
      <c r="AY50" s="70" t="s">
        <v>463</v>
      </c>
      <c r="AZ50" s="70" t="s">
        <v>208</v>
      </c>
      <c r="BA50" s="70" t="s">
        <v>209</v>
      </c>
      <c r="BB50" s="70" t="s">
        <v>464</v>
      </c>
      <c r="BC50" s="70">
        <v>143</v>
      </c>
      <c r="BD50" s="70">
        <v>21450</v>
      </c>
      <c r="BE50" s="70">
        <v>3000</v>
      </c>
      <c r="BF50" s="70">
        <v>100000</v>
      </c>
      <c r="BG50" s="70" t="s">
        <v>211</v>
      </c>
    </row>
    <row r="51" spans="1:59">
      <c r="A51" s="70">
        <v>50</v>
      </c>
      <c r="B51" s="70" t="s">
        <v>119</v>
      </c>
      <c r="C51" s="72" t="s">
        <v>465</v>
      </c>
      <c r="D51" s="72" t="s">
        <v>301</v>
      </c>
      <c r="E51" s="72" t="s">
        <v>94</v>
      </c>
      <c r="F51" s="72" t="s">
        <v>232</v>
      </c>
      <c r="G51" s="72">
        <v>15.5</v>
      </c>
      <c r="H51" s="72">
        <v>2160</v>
      </c>
      <c r="I51" s="72">
        <v>3000</v>
      </c>
      <c r="J51" s="72">
        <v>50000</v>
      </c>
      <c r="K51" s="72" t="s">
        <v>204</v>
      </c>
      <c r="L51" s="74"/>
      <c r="M51" s="75">
        <v>50</v>
      </c>
      <c r="N51" s="72" t="s">
        <v>135</v>
      </c>
      <c r="O51" s="83" t="s">
        <v>466</v>
      </c>
      <c r="P51" s="72" t="s">
        <v>202</v>
      </c>
      <c r="Q51" s="72" t="s">
        <v>104</v>
      </c>
      <c r="R51" s="84" t="s">
        <v>206</v>
      </c>
      <c r="S51" s="72">
        <v>25</v>
      </c>
      <c r="T51" s="72">
        <v>3950</v>
      </c>
      <c r="U51" s="72">
        <v>2700</v>
      </c>
      <c r="V51" s="72">
        <v>50000</v>
      </c>
      <c r="W51" s="72" t="s">
        <v>204</v>
      </c>
      <c r="X51" s="74" t="s">
        <v>200</v>
      </c>
      <c r="Y51" s="72">
        <v>50</v>
      </c>
      <c r="Z51" s="248" t="s">
        <v>200</v>
      </c>
      <c r="AA51" s="248"/>
      <c r="AB51" s="248" t="s">
        <v>200</v>
      </c>
      <c r="AC51" s="248" t="s">
        <v>200</v>
      </c>
      <c r="AD51" s="248" t="s">
        <v>200</v>
      </c>
      <c r="AE51" s="248" t="s">
        <v>200</v>
      </c>
      <c r="AF51" s="248" t="s">
        <v>200</v>
      </c>
      <c r="AG51" s="248" t="s">
        <v>200</v>
      </c>
      <c r="AH51" s="248" t="s">
        <v>200</v>
      </c>
      <c r="AI51" s="248"/>
      <c r="AJ51" s="74" t="s">
        <v>200</v>
      </c>
      <c r="AK51" s="75">
        <v>50</v>
      </c>
      <c r="AL51" s="76" t="s">
        <v>138</v>
      </c>
      <c r="AM51" s="82" t="s">
        <v>467</v>
      </c>
      <c r="AN51" s="76" t="s">
        <v>202</v>
      </c>
      <c r="AO51" s="76" t="s">
        <v>901</v>
      </c>
      <c r="AP51" s="76">
        <v>8</v>
      </c>
      <c r="AQ51" s="76">
        <v>27</v>
      </c>
      <c r="AR51" s="82">
        <v>3834</v>
      </c>
      <c r="AS51" s="76">
        <v>4000</v>
      </c>
      <c r="AT51" s="76">
        <v>50000</v>
      </c>
      <c r="AU51" s="76" t="s">
        <v>204</v>
      </c>
      <c r="AV51" s="74"/>
      <c r="AW51" s="75">
        <v>50</v>
      </c>
      <c r="AX51" s="70" t="s">
        <v>139</v>
      </c>
      <c r="AY51" s="70" t="s">
        <v>468</v>
      </c>
      <c r="AZ51" s="70" t="s">
        <v>208</v>
      </c>
      <c r="BA51" s="70" t="s">
        <v>209</v>
      </c>
      <c r="BB51" s="70" t="s">
        <v>464</v>
      </c>
      <c r="BC51" s="70">
        <v>143</v>
      </c>
      <c r="BD51" s="70">
        <v>22880</v>
      </c>
      <c r="BE51" s="70">
        <v>4000</v>
      </c>
      <c r="BF51" s="70">
        <v>100000</v>
      </c>
      <c r="BG51" s="70" t="s">
        <v>211</v>
      </c>
    </row>
    <row r="52" spans="1:59">
      <c r="A52" s="70">
        <v>51</v>
      </c>
      <c r="B52" s="70" t="s">
        <v>119</v>
      </c>
      <c r="C52" s="72" t="s">
        <v>469</v>
      </c>
      <c r="D52" s="72" t="s">
        <v>301</v>
      </c>
      <c r="E52" s="72" t="s">
        <v>94</v>
      </c>
      <c r="F52" s="72" t="s">
        <v>232</v>
      </c>
      <c r="G52" s="72">
        <v>15.5</v>
      </c>
      <c r="H52" s="72">
        <v>2400</v>
      </c>
      <c r="I52" s="72">
        <v>4000</v>
      </c>
      <c r="J52" s="72">
        <v>50000</v>
      </c>
      <c r="K52" s="72" t="s">
        <v>204</v>
      </c>
      <c r="L52" s="74"/>
      <c r="M52" s="75">
        <v>51</v>
      </c>
      <c r="N52" s="72" t="s">
        <v>135</v>
      </c>
      <c r="O52" s="83" t="s">
        <v>470</v>
      </c>
      <c r="P52" s="72" t="s">
        <v>202</v>
      </c>
      <c r="Q52" s="72" t="s">
        <v>104</v>
      </c>
      <c r="R52" s="84" t="s">
        <v>206</v>
      </c>
      <c r="S52" s="72">
        <v>25</v>
      </c>
      <c r="T52" s="72">
        <v>4375</v>
      </c>
      <c r="U52" s="72">
        <v>4000</v>
      </c>
      <c r="V52" s="72">
        <v>50000</v>
      </c>
      <c r="W52" s="72" t="s">
        <v>204</v>
      </c>
      <c r="X52" s="74" t="s">
        <v>200</v>
      </c>
      <c r="Y52" s="72">
        <v>51</v>
      </c>
      <c r="Z52" s="248" t="s">
        <v>200</v>
      </c>
      <c r="AA52" s="248"/>
      <c r="AB52" s="248" t="s">
        <v>200</v>
      </c>
      <c r="AC52" s="248" t="s">
        <v>200</v>
      </c>
      <c r="AD52" s="248" t="s">
        <v>200</v>
      </c>
      <c r="AE52" s="248" t="s">
        <v>200</v>
      </c>
      <c r="AF52" s="248" t="s">
        <v>200</v>
      </c>
      <c r="AG52" s="248" t="s">
        <v>200</v>
      </c>
      <c r="AH52" s="248" t="s">
        <v>200</v>
      </c>
      <c r="AI52" s="248"/>
      <c r="AJ52" s="74" t="s">
        <v>200</v>
      </c>
      <c r="AK52" s="75">
        <v>51</v>
      </c>
      <c r="AL52" s="76" t="s">
        <v>138</v>
      </c>
      <c r="AM52" s="76" t="s">
        <v>471</v>
      </c>
      <c r="AN52" s="76" t="s">
        <v>202</v>
      </c>
      <c r="AO52" s="76" t="s">
        <v>901</v>
      </c>
      <c r="AP52" s="76">
        <v>8</v>
      </c>
      <c r="AQ52" s="76">
        <v>27</v>
      </c>
      <c r="AR52" s="76">
        <v>3834</v>
      </c>
      <c r="AS52" s="76">
        <v>6500</v>
      </c>
      <c r="AT52" s="76">
        <v>50000</v>
      </c>
      <c r="AU52" s="76" t="s">
        <v>204</v>
      </c>
      <c r="AV52" s="74"/>
      <c r="AW52" s="75">
        <v>51</v>
      </c>
      <c r="AX52" s="70" t="s">
        <v>139</v>
      </c>
      <c r="AY52" s="70" t="s">
        <v>472</v>
      </c>
      <c r="AZ52" s="70" t="s">
        <v>208</v>
      </c>
      <c r="BA52" s="70" t="s">
        <v>209</v>
      </c>
      <c r="BB52" s="70" t="s">
        <v>464</v>
      </c>
      <c r="BC52" s="70">
        <v>143</v>
      </c>
      <c r="BD52" s="70">
        <v>22880</v>
      </c>
      <c r="BE52" s="70">
        <v>6500</v>
      </c>
      <c r="BF52" s="70">
        <v>100000</v>
      </c>
      <c r="BG52" s="70" t="s">
        <v>211</v>
      </c>
    </row>
    <row r="53" spans="1:59">
      <c r="A53" s="70">
        <v>52</v>
      </c>
      <c r="B53" s="70" t="s">
        <v>119</v>
      </c>
      <c r="C53" s="72" t="s">
        <v>473</v>
      </c>
      <c r="D53" s="72" t="s">
        <v>301</v>
      </c>
      <c r="E53" s="72" t="s">
        <v>94</v>
      </c>
      <c r="F53" s="72" t="s">
        <v>232</v>
      </c>
      <c r="G53" s="72">
        <v>15.5</v>
      </c>
      <c r="H53" s="72">
        <v>2400</v>
      </c>
      <c r="I53" s="72">
        <v>6500</v>
      </c>
      <c r="J53" s="72">
        <v>50000</v>
      </c>
      <c r="K53" s="72" t="s">
        <v>204</v>
      </c>
      <c r="L53" s="74"/>
      <c r="M53" s="75">
        <v>52</v>
      </c>
      <c r="N53" s="72" t="s">
        <v>135</v>
      </c>
      <c r="O53" s="83" t="s">
        <v>474</v>
      </c>
      <c r="P53" s="72" t="s">
        <v>202</v>
      </c>
      <c r="Q53" s="72" t="s">
        <v>104</v>
      </c>
      <c r="R53" s="84" t="s">
        <v>206</v>
      </c>
      <c r="S53" s="72">
        <v>25</v>
      </c>
      <c r="T53" s="72">
        <v>4375</v>
      </c>
      <c r="U53" s="72">
        <v>6500</v>
      </c>
      <c r="V53" s="72">
        <v>50000</v>
      </c>
      <c r="W53" s="72" t="s">
        <v>204</v>
      </c>
      <c r="X53" s="74" t="s">
        <v>200</v>
      </c>
      <c r="Y53" s="72">
        <v>52</v>
      </c>
      <c r="Z53" s="248" t="s">
        <v>200</v>
      </c>
      <c r="AA53" s="248"/>
      <c r="AB53" s="248" t="s">
        <v>200</v>
      </c>
      <c r="AC53" s="248" t="s">
        <v>200</v>
      </c>
      <c r="AD53" s="248" t="s">
        <v>200</v>
      </c>
      <c r="AE53" s="248" t="s">
        <v>200</v>
      </c>
      <c r="AF53" s="248" t="s">
        <v>200</v>
      </c>
      <c r="AG53" s="248" t="s">
        <v>200</v>
      </c>
      <c r="AH53" s="248" t="s">
        <v>200</v>
      </c>
      <c r="AI53" s="248"/>
      <c r="AJ53" s="74" t="s">
        <v>200</v>
      </c>
      <c r="AK53" s="75">
        <v>52</v>
      </c>
      <c r="AL53" s="76" t="s">
        <v>138</v>
      </c>
      <c r="AM53" s="76" t="s">
        <v>475</v>
      </c>
      <c r="AN53" s="76" t="s">
        <v>202</v>
      </c>
      <c r="AO53" s="76" t="s">
        <v>902</v>
      </c>
      <c r="AP53" s="76">
        <v>3</v>
      </c>
      <c r="AQ53" s="76">
        <v>7</v>
      </c>
      <c r="AR53" s="76">
        <v>630</v>
      </c>
      <c r="AS53" s="76">
        <v>3000</v>
      </c>
      <c r="AT53" s="76">
        <v>30000</v>
      </c>
      <c r="AU53" s="76" t="s">
        <v>204</v>
      </c>
      <c r="AV53" s="74"/>
      <c r="AW53" s="75">
        <v>52</v>
      </c>
      <c r="AX53" s="70" t="s">
        <v>139</v>
      </c>
      <c r="AY53" s="70" t="s">
        <v>476</v>
      </c>
      <c r="AZ53" s="70" t="s">
        <v>208</v>
      </c>
      <c r="BA53" s="70" t="s">
        <v>209</v>
      </c>
      <c r="BB53" s="70" t="s">
        <v>477</v>
      </c>
      <c r="BC53" s="70">
        <v>172</v>
      </c>
      <c r="BD53" s="70">
        <v>25800</v>
      </c>
      <c r="BE53" s="70">
        <v>3000</v>
      </c>
      <c r="BF53" s="70">
        <v>100000</v>
      </c>
      <c r="BG53" s="70" t="s">
        <v>211</v>
      </c>
    </row>
    <row r="54" spans="1:59">
      <c r="A54" s="70">
        <v>53</v>
      </c>
      <c r="B54" s="70" t="s">
        <v>119</v>
      </c>
      <c r="C54" s="72" t="s">
        <v>478</v>
      </c>
      <c r="D54" s="72" t="s">
        <v>301</v>
      </c>
      <c r="E54" s="72" t="s">
        <v>94</v>
      </c>
      <c r="F54" s="72" t="s">
        <v>243</v>
      </c>
      <c r="G54" s="72">
        <v>17.5</v>
      </c>
      <c r="H54" s="72">
        <v>2550</v>
      </c>
      <c r="I54" s="72">
        <v>3000</v>
      </c>
      <c r="J54" s="72">
        <v>50000</v>
      </c>
      <c r="K54" s="72" t="s">
        <v>204</v>
      </c>
      <c r="L54" s="74"/>
      <c r="M54" s="75">
        <v>53</v>
      </c>
      <c r="N54" s="72" t="s">
        <v>135</v>
      </c>
      <c r="O54" s="83" t="s">
        <v>479</v>
      </c>
      <c r="P54" s="72" t="s">
        <v>202</v>
      </c>
      <c r="Q54" s="72" t="s">
        <v>104</v>
      </c>
      <c r="R54" s="84" t="s">
        <v>206</v>
      </c>
      <c r="S54" s="72">
        <v>35</v>
      </c>
      <c r="T54" s="72">
        <v>5530</v>
      </c>
      <c r="U54" s="72">
        <v>2200</v>
      </c>
      <c r="V54" s="72">
        <v>50000</v>
      </c>
      <c r="W54" s="72" t="s">
        <v>204</v>
      </c>
      <c r="X54" s="74" t="s">
        <v>200</v>
      </c>
      <c r="Y54" s="72">
        <v>53</v>
      </c>
      <c r="Z54" s="248" t="s">
        <v>200</v>
      </c>
      <c r="AA54" s="248"/>
      <c r="AB54" s="248" t="s">
        <v>200</v>
      </c>
      <c r="AC54" s="248" t="s">
        <v>200</v>
      </c>
      <c r="AD54" s="248" t="s">
        <v>200</v>
      </c>
      <c r="AE54" s="248" t="s">
        <v>200</v>
      </c>
      <c r="AF54" s="248" t="s">
        <v>200</v>
      </c>
      <c r="AG54" s="248" t="s">
        <v>200</v>
      </c>
      <c r="AH54" s="248" t="s">
        <v>200</v>
      </c>
      <c r="AI54" s="248"/>
      <c r="AJ54" s="74" t="s">
        <v>200</v>
      </c>
      <c r="AK54" s="75">
        <v>53</v>
      </c>
      <c r="AL54" s="76" t="s">
        <v>138</v>
      </c>
      <c r="AM54" s="76" t="s">
        <v>480</v>
      </c>
      <c r="AN54" s="76" t="s">
        <v>202</v>
      </c>
      <c r="AO54" s="76" t="s">
        <v>902</v>
      </c>
      <c r="AP54" s="76">
        <v>3</v>
      </c>
      <c r="AQ54" s="76">
        <v>7</v>
      </c>
      <c r="AR54" s="76">
        <v>630</v>
      </c>
      <c r="AS54" s="76">
        <v>4000</v>
      </c>
      <c r="AT54" s="76">
        <v>30000</v>
      </c>
      <c r="AU54" s="76" t="s">
        <v>204</v>
      </c>
      <c r="AV54" s="74"/>
      <c r="AW54" s="75">
        <v>53</v>
      </c>
      <c r="AX54" s="72" t="s">
        <v>139</v>
      </c>
      <c r="AY54" s="70" t="s">
        <v>481</v>
      </c>
      <c r="AZ54" s="72" t="s">
        <v>208</v>
      </c>
      <c r="BA54" s="72" t="s">
        <v>209</v>
      </c>
      <c r="BB54" s="72" t="s">
        <v>477</v>
      </c>
      <c r="BC54" s="72">
        <v>172</v>
      </c>
      <c r="BD54" s="70">
        <v>27520</v>
      </c>
      <c r="BE54" s="72">
        <v>4000</v>
      </c>
      <c r="BF54" s="72">
        <v>100000</v>
      </c>
      <c r="BG54" s="72" t="s">
        <v>211</v>
      </c>
    </row>
    <row r="55" spans="1:59">
      <c r="A55" s="70">
        <v>54</v>
      </c>
      <c r="B55" s="70" t="s">
        <v>119</v>
      </c>
      <c r="C55" s="72" t="s">
        <v>482</v>
      </c>
      <c r="D55" s="72" t="s">
        <v>301</v>
      </c>
      <c r="E55" s="72" t="s">
        <v>94</v>
      </c>
      <c r="F55" s="72" t="s">
        <v>243</v>
      </c>
      <c r="G55" s="72">
        <v>17.5</v>
      </c>
      <c r="H55" s="72">
        <v>2800</v>
      </c>
      <c r="I55" s="72">
        <v>4000</v>
      </c>
      <c r="J55" s="72">
        <v>50000</v>
      </c>
      <c r="K55" s="72" t="s">
        <v>204</v>
      </c>
      <c r="L55" s="74"/>
      <c r="M55" s="75">
        <v>54</v>
      </c>
      <c r="N55" s="72" t="s">
        <v>135</v>
      </c>
      <c r="O55" s="83" t="s">
        <v>483</v>
      </c>
      <c r="P55" s="72" t="s">
        <v>202</v>
      </c>
      <c r="Q55" s="72" t="s">
        <v>104</v>
      </c>
      <c r="R55" s="84" t="s">
        <v>206</v>
      </c>
      <c r="S55" s="72">
        <v>35</v>
      </c>
      <c r="T55" s="72">
        <v>5530</v>
      </c>
      <c r="U55" s="72">
        <v>2700</v>
      </c>
      <c r="V55" s="72">
        <v>50000</v>
      </c>
      <c r="W55" s="72" t="s">
        <v>204</v>
      </c>
      <c r="X55" s="74" t="s">
        <v>200</v>
      </c>
      <c r="Y55" s="72">
        <v>54</v>
      </c>
      <c r="Z55" s="248" t="s">
        <v>200</v>
      </c>
      <c r="AA55" s="248"/>
      <c r="AB55" s="248" t="s">
        <v>200</v>
      </c>
      <c r="AC55" s="248" t="s">
        <v>200</v>
      </c>
      <c r="AD55" s="248" t="s">
        <v>200</v>
      </c>
      <c r="AE55" s="248" t="s">
        <v>200</v>
      </c>
      <c r="AF55" s="248" t="s">
        <v>200</v>
      </c>
      <c r="AG55" s="248" t="s">
        <v>200</v>
      </c>
      <c r="AH55" s="248" t="s">
        <v>200</v>
      </c>
      <c r="AI55" s="248"/>
      <c r="AJ55" s="74" t="s">
        <v>200</v>
      </c>
      <c r="AK55" s="75">
        <v>54</v>
      </c>
      <c r="AL55" s="76" t="s">
        <v>138</v>
      </c>
      <c r="AM55" s="76" t="s">
        <v>484</v>
      </c>
      <c r="AN55" s="76" t="s">
        <v>202</v>
      </c>
      <c r="AO55" s="76" t="s">
        <v>902</v>
      </c>
      <c r="AP55" s="76">
        <v>3</v>
      </c>
      <c r="AQ55" s="76">
        <v>7</v>
      </c>
      <c r="AR55" s="76">
        <v>630</v>
      </c>
      <c r="AS55" s="76">
        <v>6500</v>
      </c>
      <c r="AT55" s="76">
        <v>30000</v>
      </c>
      <c r="AU55" s="76" t="s">
        <v>204</v>
      </c>
      <c r="AV55" s="74"/>
      <c r="AW55" s="75">
        <v>54</v>
      </c>
      <c r="AX55" s="72" t="s">
        <v>139</v>
      </c>
      <c r="AY55" s="70" t="s">
        <v>485</v>
      </c>
      <c r="AZ55" s="72" t="s">
        <v>208</v>
      </c>
      <c r="BA55" s="84" t="s">
        <v>209</v>
      </c>
      <c r="BB55" s="84" t="s">
        <v>477</v>
      </c>
      <c r="BC55" s="72">
        <v>172</v>
      </c>
      <c r="BD55" s="70">
        <v>27520</v>
      </c>
      <c r="BE55" s="72">
        <v>6500</v>
      </c>
      <c r="BF55" s="72">
        <v>100000</v>
      </c>
      <c r="BG55" s="72" t="s">
        <v>211</v>
      </c>
    </row>
    <row r="56" spans="1:59">
      <c r="A56" s="70">
        <v>55</v>
      </c>
      <c r="B56" s="70" t="s">
        <v>119</v>
      </c>
      <c r="C56" s="72" t="s">
        <v>486</v>
      </c>
      <c r="D56" s="72" t="s">
        <v>301</v>
      </c>
      <c r="E56" s="72" t="s">
        <v>94</v>
      </c>
      <c r="F56" s="72" t="s">
        <v>243</v>
      </c>
      <c r="G56" s="72">
        <v>17.5</v>
      </c>
      <c r="H56" s="72">
        <v>2800</v>
      </c>
      <c r="I56" s="72">
        <v>6500</v>
      </c>
      <c r="J56" s="72">
        <v>50000</v>
      </c>
      <c r="K56" s="72" t="s">
        <v>204</v>
      </c>
      <c r="L56" s="74"/>
      <c r="M56" s="75">
        <v>55</v>
      </c>
      <c r="N56" s="72" t="s">
        <v>135</v>
      </c>
      <c r="O56" s="83" t="s">
        <v>487</v>
      </c>
      <c r="P56" s="72" t="s">
        <v>202</v>
      </c>
      <c r="Q56" s="72" t="s">
        <v>104</v>
      </c>
      <c r="R56" s="84" t="s">
        <v>206</v>
      </c>
      <c r="S56" s="72">
        <v>35</v>
      </c>
      <c r="T56" s="72">
        <v>6125</v>
      </c>
      <c r="U56" s="72">
        <v>4000</v>
      </c>
      <c r="V56" s="72">
        <v>50000</v>
      </c>
      <c r="W56" s="72" t="s">
        <v>204</v>
      </c>
      <c r="X56" s="74" t="s">
        <v>200</v>
      </c>
      <c r="Y56" s="72">
        <v>55</v>
      </c>
      <c r="Z56" s="248" t="s">
        <v>200</v>
      </c>
      <c r="AA56" s="248"/>
      <c r="AB56" s="248" t="s">
        <v>200</v>
      </c>
      <c r="AC56" s="248" t="s">
        <v>200</v>
      </c>
      <c r="AD56" s="248" t="s">
        <v>200</v>
      </c>
      <c r="AE56" s="248" t="s">
        <v>200</v>
      </c>
      <c r="AF56" s="248" t="s">
        <v>200</v>
      </c>
      <c r="AG56" s="248" t="s">
        <v>200</v>
      </c>
      <c r="AH56" s="248" t="s">
        <v>200</v>
      </c>
      <c r="AI56" s="248"/>
      <c r="AJ56" s="74" t="s">
        <v>200</v>
      </c>
      <c r="AK56" s="75">
        <v>55</v>
      </c>
      <c r="AL56" s="76" t="s">
        <v>138</v>
      </c>
      <c r="AM56" s="76" t="s">
        <v>488</v>
      </c>
      <c r="AN56" s="76" t="s">
        <v>202</v>
      </c>
      <c r="AO56" s="76" t="s">
        <v>899</v>
      </c>
      <c r="AP56" s="76">
        <v>4</v>
      </c>
      <c r="AQ56" s="76">
        <v>10</v>
      </c>
      <c r="AR56" s="76">
        <v>900</v>
      </c>
      <c r="AS56" s="76">
        <v>3000</v>
      </c>
      <c r="AT56" s="76">
        <v>30000</v>
      </c>
      <c r="AU56" s="76" t="s">
        <v>204</v>
      </c>
      <c r="AV56" s="74"/>
      <c r="AW56" s="75">
        <v>55</v>
      </c>
      <c r="AX56" s="76" t="s">
        <v>126</v>
      </c>
      <c r="AY56" s="82" t="s">
        <v>489</v>
      </c>
      <c r="AZ56" s="76" t="s">
        <v>202</v>
      </c>
      <c r="BA56" s="78" t="s">
        <v>206</v>
      </c>
      <c r="BB56" s="78" t="s">
        <v>206</v>
      </c>
      <c r="BC56" s="76">
        <v>75</v>
      </c>
      <c r="BD56" s="76">
        <v>12750</v>
      </c>
      <c r="BE56" s="76">
        <v>4000</v>
      </c>
      <c r="BF56" s="76">
        <v>100000</v>
      </c>
      <c r="BG56" s="76" t="s">
        <v>204</v>
      </c>
    </row>
    <row r="57" spans="1:59">
      <c r="A57" s="70">
        <v>56</v>
      </c>
      <c r="B57" s="70" t="s">
        <v>119</v>
      </c>
      <c r="C57" s="72" t="s">
        <v>490</v>
      </c>
      <c r="D57" s="72" t="s">
        <v>301</v>
      </c>
      <c r="E57" s="72" t="s">
        <v>94</v>
      </c>
      <c r="F57" s="72" t="s">
        <v>243</v>
      </c>
      <c r="G57" s="72">
        <v>25</v>
      </c>
      <c r="H57" s="72">
        <v>4000</v>
      </c>
      <c r="I57" s="72">
        <v>4000</v>
      </c>
      <c r="J57" s="72">
        <v>50000</v>
      </c>
      <c r="K57" s="72" t="s">
        <v>204</v>
      </c>
      <c r="L57" s="74"/>
      <c r="M57" s="75">
        <v>56</v>
      </c>
      <c r="N57" s="72" t="s">
        <v>135</v>
      </c>
      <c r="O57" s="83" t="s">
        <v>491</v>
      </c>
      <c r="P57" s="72" t="s">
        <v>202</v>
      </c>
      <c r="Q57" s="72" t="s">
        <v>104</v>
      </c>
      <c r="R57" s="84" t="s">
        <v>206</v>
      </c>
      <c r="S57" s="72">
        <v>35</v>
      </c>
      <c r="T57" s="72">
        <v>6125</v>
      </c>
      <c r="U57" s="72">
        <v>6500</v>
      </c>
      <c r="V57" s="72">
        <v>50000</v>
      </c>
      <c r="W57" s="72" t="s">
        <v>204</v>
      </c>
      <c r="X57" s="74" t="s">
        <v>200</v>
      </c>
      <c r="Y57" s="72">
        <v>56</v>
      </c>
      <c r="Z57" s="248" t="s">
        <v>200</v>
      </c>
      <c r="AA57" s="248"/>
      <c r="AB57" s="248" t="s">
        <v>200</v>
      </c>
      <c r="AC57" s="248" t="s">
        <v>200</v>
      </c>
      <c r="AD57" s="248" t="s">
        <v>200</v>
      </c>
      <c r="AE57" s="248" t="s">
        <v>200</v>
      </c>
      <c r="AF57" s="248" t="s">
        <v>200</v>
      </c>
      <c r="AG57" s="248" t="s">
        <v>200</v>
      </c>
      <c r="AH57" s="248" t="s">
        <v>200</v>
      </c>
      <c r="AI57" s="248"/>
      <c r="AJ57" s="74" t="s">
        <v>200</v>
      </c>
      <c r="AK57" s="75">
        <v>56</v>
      </c>
      <c r="AL57" s="76" t="s">
        <v>138</v>
      </c>
      <c r="AM57" s="76" t="s">
        <v>492</v>
      </c>
      <c r="AN57" s="76" t="s">
        <v>202</v>
      </c>
      <c r="AO57" s="76" t="s">
        <v>899</v>
      </c>
      <c r="AP57" s="76">
        <v>4</v>
      </c>
      <c r="AQ57" s="76">
        <v>10</v>
      </c>
      <c r="AR57" s="76">
        <v>900</v>
      </c>
      <c r="AS57" s="76">
        <v>4000</v>
      </c>
      <c r="AT57" s="76">
        <v>30000</v>
      </c>
      <c r="AU57" s="76" t="s">
        <v>204</v>
      </c>
      <c r="AV57" s="74"/>
      <c r="AW57" s="75">
        <v>56</v>
      </c>
      <c r="AX57" s="76" t="s">
        <v>126</v>
      </c>
      <c r="AY57" s="82" t="s">
        <v>493</v>
      </c>
      <c r="AZ57" s="76" t="s">
        <v>202</v>
      </c>
      <c r="BA57" s="78" t="s">
        <v>206</v>
      </c>
      <c r="BB57" s="78" t="s">
        <v>206</v>
      </c>
      <c r="BC57" s="76">
        <v>75</v>
      </c>
      <c r="BD57" s="76">
        <v>12750</v>
      </c>
      <c r="BE57" s="76">
        <v>6500</v>
      </c>
      <c r="BF57" s="76">
        <v>100000</v>
      </c>
      <c r="BG57" s="76" t="s">
        <v>204</v>
      </c>
    </row>
    <row r="58" spans="1:59">
      <c r="A58" s="70">
        <v>57</v>
      </c>
      <c r="B58" s="70" t="s">
        <v>119</v>
      </c>
      <c r="C58" s="72" t="s">
        <v>494</v>
      </c>
      <c r="D58" s="72" t="s">
        <v>301</v>
      </c>
      <c r="E58" s="72" t="s">
        <v>94</v>
      </c>
      <c r="F58" s="72" t="s">
        <v>243</v>
      </c>
      <c r="G58" s="72">
        <v>25</v>
      </c>
      <c r="H58" s="72">
        <v>4000</v>
      </c>
      <c r="I58" s="72">
        <v>6500</v>
      </c>
      <c r="J58" s="72">
        <v>50000</v>
      </c>
      <c r="K58" s="72" t="s">
        <v>204</v>
      </c>
      <c r="L58" s="74"/>
      <c r="M58" s="75">
        <v>57</v>
      </c>
      <c r="N58" s="72" t="s">
        <v>135</v>
      </c>
      <c r="O58" s="83" t="s">
        <v>495</v>
      </c>
      <c r="P58" s="72" t="s">
        <v>202</v>
      </c>
      <c r="Q58" s="72" t="s">
        <v>105</v>
      </c>
      <c r="R58" s="84" t="s">
        <v>206</v>
      </c>
      <c r="S58" s="72">
        <v>35</v>
      </c>
      <c r="T58" s="72">
        <v>5530</v>
      </c>
      <c r="U58" s="72">
        <v>2200</v>
      </c>
      <c r="V58" s="72">
        <v>50000</v>
      </c>
      <c r="W58" s="72" t="s">
        <v>204</v>
      </c>
      <c r="X58" s="74" t="s">
        <v>200</v>
      </c>
      <c r="Y58" s="72">
        <v>57</v>
      </c>
      <c r="Z58" s="248" t="s">
        <v>200</v>
      </c>
      <c r="AA58" s="248"/>
      <c r="AB58" s="248" t="s">
        <v>200</v>
      </c>
      <c r="AC58" s="248" t="s">
        <v>200</v>
      </c>
      <c r="AD58" s="248" t="s">
        <v>200</v>
      </c>
      <c r="AE58" s="248" t="s">
        <v>200</v>
      </c>
      <c r="AF58" s="248" t="s">
        <v>200</v>
      </c>
      <c r="AG58" s="248" t="s">
        <v>200</v>
      </c>
      <c r="AH58" s="248" t="s">
        <v>200</v>
      </c>
      <c r="AI58" s="248"/>
      <c r="AJ58" s="74" t="s">
        <v>200</v>
      </c>
      <c r="AK58" s="75">
        <v>57</v>
      </c>
      <c r="AL58" s="76" t="s">
        <v>138</v>
      </c>
      <c r="AM58" s="76" t="s">
        <v>496</v>
      </c>
      <c r="AN58" s="76" t="s">
        <v>202</v>
      </c>
      <c r="AO58" s="76" t="s">
        <v>899</v>
      </c>
      <c r="AP58" s="76">
        <v>4</v>
      </c>
      <c r="AQ58" s="76">
        <v>10</v>
      </c>
      <c r="AR58" s="76">
        <v>900</v>
      </c>
      <c r="AS58" s="76">
        <v>6500</v>
      </c>
      <c r="AT58" s="76">
        <v>30000</v>
      </c>
      <c r="AU58" s="76" t="s">
        <v>204</v>
      </c>
      <c r="AV58" s="74"/>
      <c r="AW58" s="75">
        <v>57</v>
      </c>
      <c r="AX58" s="76" t="s">
        <v>126</v>
      </c>
      <c r="AY58" s="82" t="s">
        <v>497</v>
      </c>
      <c r="AZ58" s="76" t="s">
        <v>202</v>
      </c>
      <c r="BA58" s="78" t="s">
        <v>206</v>
      </c>
      <c r="BB58" s="78" t="s">
        <v>206</v>
      </c>
      <c r="BC58" s="76">
        <v>100</v>
      </c>
      <c r="BD58" s="76">
        <v>17000</v>
      </c>
      <c r="BE58" s="76">
        <v>4000</v>
      </c>
      <c r="BF58" s="76">
        <v>100000</v>
      </c>
      <c r="BG58" s="76" t="s">
        <v>204</v>
      </c>
    </row>
    <row r="59" spans="1:59">
      <c r="A59" s="70">
        <v>60</v>
      </c>
      <c r="B59" s="70" t="s">
        <v>119</v>
      </c>
      <c r="C59" s="72" t="s">
        <v>504</v>
      </c>
      <c r="D59" s="72" t="s">
        <v>301</v>
      </c>
      <c r="E59" s="72" t="s">
        <v>94</v>
      </c>
      <c r="F59" s="72" t="s">
        <v>243</v>
      </c>
      <c r="G59" s="72">
        <v>35</v>
      </c>
      <c r="H59" s="72">
        <v>5600</v>
      </c>
      <c r="I59" s="72">
        <v>4000</v>
      </c>
      <c r="J59" s="72">
        <v>50000</v>
      </c>
      <c r="K59" s="72" t="s">
        <v>204</v>
      </c>
      <c r="L59" s="74"/>
      <c r="M59" s="75">
        <v>58</v>
      </c>
      <c r="N59" s="72" t="s">
        <v>135</v>
      </c>
      <c r="O59" s="83" t="s">
        <v>498</v>
      </c>
      <c r="P59" s="72" t="s">
        <v>202</v>
      </c>
      <c r="Q59" s="72" t="s">
        <v>105</v>
      </c>
      <c r="R59" s="84" t="s">
        <v>206</v>
      </c>
      <c r="S59" s="72">
        <v>35</v>
      </c>
      <c r="T59" s="72">
        <v>5530</v>
      </c>
      <c r="U59" s="72">
        <v>2700</v>
      </c>
      <c r="V59" s="72">
        <v>50000</v>
      </c>
      <c r="W59" s="72" t="s">
        <v>204</v>
      </c>
      <c r="X59" s="74" t="s">
        <v>200</v>
      </c>
      <c r="Y59" s="72">
        <v>58</v>
      </c>
      <c r="Z59" s="248" t="s">
        <v>200</v>
      </c>
      <c r="AA59" s="248"/>
      <c r="AB59" s="248" t="s">
        <v>200</v>
      </c>
      <c r="AC59" s="248" t="s">
        <v>200</v>
      </c>
      <c r="AD59" s="248" t="s">
        <v>200</v>
      </c>
      <c r="AE59" s="248" t="s">
        <v>200</v>
      </c>
      <c r="AF59" s="248" t="s">
        <v>200</v>
      </c>
      <c r="AG59" s="248" t="s">
        <v>200</v>
      </c>
      <c r="AH59" s="248" t="s">
        <v>200</v>
      </c>
      <c r="AI59" s="248"/>
      <c r="AJ59" s="74" t="s">
        <v>200</v>
      </c>
      <c r="AK59" s="75">
        <v>58</v>
      </c>
      <c r="AL59" s="76" t="s">
        <v>138</v>
      </c>
      <c r="AM59" s="76" t="s">
        <v>499</v>
      </c>
      <c r="AN59" s="76" t="s">
        <v>202</v>
      </c>
      <c r="AO59" s="76" t="s">
        <v>900</v>
      </c>
      <c r="AP59" s="76">
        <v>6</v>
      </c>
      <c r="AQ59" s="76">
        <v>15</v>
      </c>
      <c r="AR59" s="76">
        <v>1350</v>
      </c>
      <c r="AS59" s="76">
        <v>3000</v>
      </c>
      <c r="AT59" s="76">
        <v>30000</v>
      </c>
      <c r="AU59" s="76" t="s">
        <v>204</v>
      </c>
      <c r="AV59" s="74"/>
      <c r="AW59" s="75">
        <v>58</v>
      </c>
      <c r="AX59" s="76" t="s">
        <v>126</v>
      </c>
      <c r="AY59" s="82" t="s">
        <v>500</v>
      </c>
      <c r="AZ59" s="76" t="s">
        <v>202</v>
      </c>
      <c r="BA59" s="78" t="s">
        <v>206</v>
      </c>
      <c r="BB59" s="78" t="s">
        <v>206</v>
      </c>
      <c r="BC59" s="76">
        <v>100</v>
      </c>
      <c r="BD59" s="76">
        <v>17000</v>
      </c>
      <c r="BE59" s="76">
        <v>6500</v>
      </c>
      <c r="BF59" s="76">
        <v>100000</v>
      </c>
      <c r="BG59" s="76" t="s">
        <v>204</v>
      </c>
    </row>
    <row r="60" spans="1:59">
      <c r="A60" s="70">
        <v>61</v>
      </c>
      <c r="B60" s="70" t="s">
        <v>119</v>
      </c>
      <c r="C60" s="72" t="s">
        <v>508</v>
      </c>
      <c r="D60" s="72" t="s">
        <v>301</v>
      </c>
      <c r="E60" s="72" t="s">
        <v>94</v>
      </c>
      <c r="F60" s="72" t="s">
        <v>243</v>
      </c>
      <c r="G60" s="72">
        <v>35</v>
      </c>
      <c r="H60" s="72">
        <v>5600</v>
      </c>
      <c r="I60" s="72">
        <v>6500</v>
      </c>
      <c r="J60" s="72">
        <v>50000</v>
      </c>
      <c r="K60" s="72" t="s">
        <v>204</v>
      </c>
      <c r="L60" s="74"/>
      <c r="M60" s="75">
        <v>59</v>
      </c>
      <c r="N60" s="72" t="s">
        <v>135</v>
      </c>
      <c r="O60" s="83" t="s">
        <v>501</v>
      </c>
      <c r="P60" s="72" t="s">
        <v>202</v>
      </c>
      <c r="Q60" s="72" t="s">
        <v>105</v>
      </c>
      <c r="R60" s="84" t="s">
        <v>206</v>
      </c>
      <c r="S60" s="72">
        <v>35</v>
      </c>
      <c r="T60" s="72">
        <v>6125</v>
      </c>
      <c r="U60" s="72">
        <v>4000</v>
      </c>
      <c r="V60" s="72">
        <v>50000</v>
      </c>
      <c r="W60" s="72" t="s">
        <v>204</v>
      </c>
      <c r="X60" s="74" t="s">
        <v>200</v>
      </c>
      <c r="Y60" s="72">
        <v>59</v>
      </c>
      <c r="Z60" s="248" t="s">
        <v>200</v>
      </c>
      <c r="AA60" s="248"/>
      <c r="AB60" s="248" t="s">
        <v>200</v>
      </c>
      <c r="AC60" s="248" t="s">
        <v>200</v>
      </c>
      <c r="AD60" s="248" t="s">
        <v>200</v>
      </c>
      <c r="AE60" s="248" t="s">
        <v>200</v>
      </c>
      <c r="AF60" s="248" t="s">
        <v>200</v>
      </c>
      <c r="AG60" s="248" t="s">
        <v>200</v>
      </c>
      <c r="AH60" s="248" t="s">
        <v>200</v>
      </c>
      <c r="AI60" s="248"/>
      <c r="AJ60" s="74" t="s">
        <v>200</v>
      </c>
      <c r="AK60" s="75">
        <v>59</v>
      </c>
      <c r="AL60" s="76" t="s">
        <v>138</v>
      </c>
      <c r="AM60" s="76" t="s">
        <v>502</v>
      </c>
      <c r="AN60" s="76" t="s">
        <v>202</v>
      </c>
      <c r="AO60" s="76" t="s">
        <v>900</v>
      </c>
      <c r="AP60" s="76">
        <v>6</v>
      </c>
      <c r="AQ60" s="76">
        <v>15</v>
      </c>
      <c r="AR60" s="76">
        <v>1350</v>
      </c>
      <c r="AS60" s="76">
        <v>4000</v>
      </c>
      <c r="AT60" s="76">
        <v>30000</v>
      </c>
      <c r="AU60" s="76" t="s">
        <v>204</v>
      </c>
      <c r="AV60" s="74"/>
      <c r="AW60" s="75">
        <v>59</v>
      </c>
      <c r="AX60" s="76" t="s">
        <v>126</v>
      </c>
      <c r="AY60" s="82" t="s">
        <v>503</v>
      </c>
      <c r="AZ60" s="76" t="s">
        <v>202</v>
      </c>
      <c r="BA60" s="78" t="s">
        <v>206</v>
      </c>
      <c r="BB60" s="78" t="s">
        <v>206</v>
      </c>
      <c r="BC60" s="76">
        <v>120</v>
      </c>
      <c r="BD60" s="76">
        <v>20400</v>
      </c>
      <c r="BE60" s="76">
        <v>4000</v>
      </c>
      <c r="BF60" s="76">
        <v>100000</v>
      </c>
      <c r="BG60" s="76" t="s">
        <v>204</v>
      </c>
    </row>
    <row r="61" spans="1:59">
      <c r="A61" s="70">
        <v>62</v>
      </c>
      <c r="B61" s="72" t="s">
        <v>134</v>
      </c>
      <c r="C61" s="72" t="s">
        <v>512</v>
      </c>
      <c r="D61" s="72" t="s">
        <v>208</v>
      </c>
      <c r="E61" s="72" t="s">
        <v>357</v>
      </c>
      <c r="F61" s="72" t="s">
        <v>513</v>
      </c>
      <c r="G61" s="72">
        <v>8</v>
      </c>
      <c r="H61" s="72">
        <v>1200</v>
      </c>
      <c r="I61" s="72">
        <v>4000</v>
      </c>
      <c r="J61" s="72">
        <v>50000</v>
      </c>
      <c r="K61" s="72" t="s">
        <v>514</v>
      </c>
      <c r="L61" s="74"/>
      <c r="M61" s="75">
        <v>60</v>
      </c>
      <c r="N61" s="72" t="s">
        <v>135</v>
      </c>
      <c r="O61" s="83" t="s">
        <v>505</v>
      </c>
      <c r="P61" s="72" t="s">
        <v>202</v>
      </c>
      <c r="Q61" s="72" t="s">
        <v>105</v>
      </c>
      <c r="R61" s="84" t="s">
        <v>206</v>
      </c>
      <c r="S61" s="72">
        <v>35</v>
      </c>
      <c r="T61" s="72">
        <v>6125</v>
      </c>
      <c r="U61" s="72">
        <v>6500</v>
      </c>
      <c r="V61" s="72">
        <v>50000</v>
      </c>
      <c r="W61" s="72" t="s">
        <v>204</v>
      </c>
      <c r="X61" s="74" t="s">
        <v>200</v>
      </c>
      <c r="Y61" s="72">
        <v>60</v>
      </c>
      <c r="Z61" s="248" t="s">
        <v>200</v>
      </c>
      <c r="AA61" s="248"/>
      <c r="AB61" s="248" t="s">
        <v>200</v>
      </c>
      <c r="AC61" s="248" t="s">
        <v>200</v>
      </c>
      <c r="AD61" s="248" t="s">
        <v>200</v>
      </c>
      <c r="AE61" s="248" t="s">
        <v>200</v>
      </c>
      <c r="AF61" s="248" t="s">
        <v>200</v>
      </c>
      <c r="AG61" s="248" t="s">
        <v>200</v>
      </c>
      <c r="AH61" s="248" t="s">
        <v>200</v>
      </c>
      <c r="AI61" s="248"/>
      <c r="AJ61" s="74" t="s">
        <v>200</v>
      </c>
      <c r="AK61" s="75">
        <v>60</v>
      </c>
      <c r="AL61" s="76" t="s">
        <v>138</v>
      </c>
      <c r="AM61" s="76" t="s">
        <v>506</v>
      </c>
      <c r="AN61" s="76" t="s">
        <v>202</v>
      </c>
      <c r="AO61" s="76" t="s">
        <v>900</v>
      </c>
      <c r="AP61" s="76">
        <v>6</v>
      </c>
      <c r="AQ61" s="76">
        <v>15</v>
      </c>
      <c r="AR61" s="76">
        <v>1350</v>
      </c>
      <c r="AS61" s="76">
        <v>6500</v>
      </c>
      <c r="AT61" s="76">
        <v>30000</v>
      </c>
      <c r="AU61" s="76" t="s">
        <v>204</v>
      </c>
      <c r="AV61" s="74"/>
      <c r="AW61" s="75">
        <v>60</v>
      </c>
      <c r="AX61" s="76" t="s">
        <v>126</v>
      </c>
      <c r="AY61" s="82" t="s">
        <v>507</v>
      </c>
      <c r="AZ61" s="76" t="s">
        <v>202</v>
      </c>
      <c r="BA61" s="78" t="s">
        <v>206</v>
      </c>
      <c r="BB61" s="78" t="s">
        <v>206</v>
      </c>
      <c r="BC61" s="76">
        <v>120</v>
      </c>
      <c r="BD61" s="76">
        <v>20400</v>
      </c>
      <c r="BE61" s="76">
        <v>6500</v>
      </c>
      <c r="BF61" s="76">
        <v>100000</v>
      </c>
      <c r="BG61" s="76" t="s">
        <v>204</v>
      </c>
    </row>
    <row r="62" spans="1:59">
      <c r="A62" s="70">
        <v>63</v>
      </c>
      <c r="B62" s="72" t="s">
        <v>134</v>
      </c>
      <c r="C62" s="72" t="s">
        <v>518</v>
      </c>
      <c r="D62" s="72" t="s">
        <v>208</v>
      </c>
      <c r="E62" s="72" t="s">
        <v>357</v>
      </c>
      <c r="F62" s="72" t="s">
        <v>513</v>
      </c>
      <c r="G62" s="72">
        <v>8</v>
      </c>
      <c r="H62" s="72">
        <v>1200</v>
      </c>
      <c r="I62" s="72">
        <v>6500</v>
      </c>
      <c r="J62" s="72">
        <v>50000</v>
      </c>
      <c r="K62" s="72" t="s">
        <v>514</v>
      </c>
      <c r="L62" s="74"/>
      <c r="M62" s="75">
        <v>61</v>
      </c>
      <c r="N62" s="72" t="s">
        <v>135</v>
      </c>
      <c r="O62" s="83" t="s">
        <v>509</v>
      </c>
      <c r="P62" s="72" t="s">
        <v>202</v>
      </c>
      <c r="Q62" s="72" t="s">
        <v>105</v>
      </c>
      <c r="R62" s="84" t="s">
        <v>206</v>
      </c>
      <c r="S62" s="72">
        <v>54</v>
      </c>
      <c r="T62" s="72">
        <v>8532</v>
      </c>
      <c r="U62" s="72">
        <v>2200</v>
      </c>
      <c r="V62" s="72">
        <v>50000</v>
      </c>
      <c r="W62" s="72" t="s">
        <v>204</v>
      </c>
      <c r="X62" s="74" t="s">
        <v>200</v>
      </c>
      <c r="Y62" s="72">
        <v>61</v>
      </c>
      <c r="Z62" s="248" t="s">
        <v>200</v>
      </c>
      <c r="AA62" s="248"/>
      <c r="AB62" s="248" t="s">
        <v>200</v>
      </c>
      <c r="AC62" s="248" t="s">
        <v>200</v>
      </c>
      <c r="AD62" s="248" t="s">
        <v>200</v>
      </c>
      <c r="AE62" s="248" t="s">
        <v>200</v>
      </c>
      <c r="AF62" s="248" t="s">
        <v>200</v>
      </c>
      <c r="AG62" s="248" t="s">
        <v>200</v>
      </c>
      <c r="AH62" s="248" t="s">
        <v>200</v>
      </c>
      <c r="AI62" s="248"/>
      <c r="AJ62" s="74" t="s">
        <v>200</v>
      </c>
      <c r="AK62" s="75">
        <v>61</v>
      </c>
      <c r="AL62" s="76" t="s">
        <v>138</v>
      </c>
      <c r="AM62" s="76" t="s">
        <v>510</v>
      </c>
      <c r="AN62" s="76" t="s">
        <v>202</v>
      </c>
      <c r="AO62" s="76" t="s">
        <v>901</v>
      </c>
      <c r="AP62" s="76">
        <v>8</v>
      </c>
      <c r="AQ62" s="76">
        <v>30</v>
      </c>
      <c r="AR62" s="76">
        <v>2700</v>
      </c>
      <c r="AS62" s="76">
        <v>3000</v>
      </c>
      <c r="AT62" s="76">
        <v>30000</v>
      </c>
      <c r="AU62" s="76" t="s">
        <v>204</v>
      </c>
      <c r="AV62" s="74"/>
      <c r="AW62" s="75">
        <v>61</v>
      </c>
      <c r="AX62" s="76" t="s">
        <v>126</v>
      </c>
      <c r="AY62" s="82" t="s">
        <v>511</v>
      </c>
      <c r="AZ62" s="76" t="s">
        <v>202</v>
      </c>
      <c r="BA62" s="78" t="s">
        <v>206</v>
      </c>
      <c r="BB62" s="78" t="s">
        <v>206</v>
      </c>
      <c r="BC62" s="76">
        <v>150</v>
      </c>
      <c r="BD62" s="76">
        <v>25500</v>
      </c>
      <c r="BE62" s="76">
        <v>4000</v>
      </c>
      <c r="BF62" s="76">
        <v>100000</v>
      </c>
      <c r="BG62" s="76" t="s">
        <v>204</v>
      </c>
    </row>
    <row r="63" spans="1:59">
      <c r="A63" s="70">
        <v>64</v>
      </c>
      <c r="B63" s="72" t="s">
        <v>134</v>
      </c>
      <c r="C63" s="72" t="s">
        <v>522</v>
      </c>
      <c r="D63" s="72" t="s">
        <v>208</v>
      </c>
      <c r="E63" s="72" t="s">
        <v>357</v>
      </c>
      <c r="F63" s="72" t="s">
        <v>513</v>
      </c>
      <c r="G63" s="72">
        <v>16</v>
      </c>
      <c r="H63" s="72">
        <v>2400</v>
      </c>
      <c r="I63" s="72">
        <v>4000</v>
      </c>
      <c r="J63" s="72">
        <v>50000</v>
      </c>
      <c r="K63" s="72" t="s">
        <v>514</v>
      </c>
      <c r="L63" s="74"/>
      <c r="M63" s="75">
        <v>62</v>
      </c>
      <c r="N63" s="72" t="s">
        <v>135</v>
      </c>
      <c r="O63" s="83" t="s">
        <v>515</v>
      </c>
      <c r="P63" s="72" t="s">
        <v>202</v>
      </c>
      <c r="Q63" s="72" t="s">
        <v>105</v>
      </c>
      <c r="R63" s="84" t="s">
        <v>206</v>
      </c>
      <c r="S63" s="72">
        <v>54</v>
      </c>
      <c r="T63" s="72">
        <v>8532</v>
      </c>
      <c r="U63" s="72">
        <v>2700</v>
      </c>
      <c r="V63" s="72">
        <v>50000</v>
      </c>
      <c r="W63" s="72" t="s">
        <v>204</v>
      </c>
      <c r="X63" s="74" t="s">
        <v>200</v>
      </c>
      <c r="Y63" s="72">
        <v>62</v>
      </c>
      <c r="Z63" s="248" t="s">
        <v>200</v>
      </c>
      <c r="AA63" s="248"/>
      <c r="AB63" s="248" t="s">
        <v>200</v>
      </c>
      <c r="AC63" s="248" t="s">
        <v>200</v>
      </c>
      <c r="AD63" s="248" t="s">
        <v>200</v>
      </c>
      <c r="AE63" s="248" t="s">
        <v>200</v>
      </c>
      <c r="AF63" s="248" t="s">
        <v>200</v>
      </c>
      <c r="AG63" s="248" t="s">
        <v>200</v>
      </c>
      <c r="AH63" s="248" t="s">
        <v>200</v>
      </c>
      <c r="AI63" s="248"/>
      <c r="AJ63" s="74" t="s">
        <v>200</v>
      </c>
      <c r="AK63" s="75">
        <v>62</v>
      </c>
      <c r="AL63" s="76" t="s">
        <v>138</v>
      </c>
      <c r="AM63" s="76" t="s">
        <v>516</v>
      </c>
      <c r="AN63" s="76" t="s">
        <v>202</v>
      </c>
      <c r="AO63" s="76" t="s">
        <v>901</v>
      </c>
      <c r="AP63" s="76">
        <v>8</v>
      </c>
      <c r="AQ63" s="76">
        <v>30</v>
      </c>
      <c r="AR63" s="76">
        <v>2700</v>
      </c>
      <c r="AS63" s="76">
        <v>4000</v>
      </c>
      <c r="AT63" s="76">
        <v>30000</v>
      </c>
      <c r="AU63" s="76" t="s">
        <v>204</v>
      </c>
      <c r="AV63" s="74"/>
      <c r="AW63" s="75">
        <v>62</v>
      </c>
      <c r="AX63" s="76" t="s">
        <v>126</v>
      </c>
      <c r="AY63" s="82" t="s">
        <v>517</v>
      </c>
      <c r="AZ63" s="76" t="s">
        <v>202</v>
      </c>
      <c r="BA63" s="78" t="s">
        <v>206</v>
      </c>
      <c r="BB63" s="78" t="s">
        <v>206</v>
      </c>
      <c r="BC63" s="76">
        <v>150</v>
      </c>
      <c r="BD63" s="76">
        <v>25500</v>
      </c>
      <c r="BE63" s="76">
        <v>6500</v>
      </c>
      <c r="BF63" s="76">
        <v>100000</v>
      </c>
      <c r="BG63" s="76" t="s">
        <v>204</v>
      </c>
    </row>
    <row r="64" spans="1:59">
      <c r="A64" s="70">
        <v>65</v>
      </c>
      <c r="B64" s="72" t="s">
        <v>134</v>
      </c>
      <c r="C64" s="72" t="s">
        <v>526</v>
      </c>
      <c r="D64" s="72" t="s">
        <v>208</v>
      </c>
      <c r="E64" s="72" t="s">
        <v>357</v>
      </c>
      <c r="F64" s="72" t="s">
        <v>513</v>
      </c>
      <c r="G64" s="72">
        <v>16</v>
      </c>
      <c r="H64" s="72">
        <v>2400</v>
      </c>
      <c r="I64" s="72">
        <v>6500</v>
      </c>
      <c r="J64" s="72">
        <v>50000</v>
      </c>
      <c r="K64" s="72" t="s">
        <v>514</v>
      </c>
      <c r="L64" s="74"/>
      <c r="M64" s="75">
        <v>63</v>
      </c>
      <c r="N64" s="72" t="s">
        <v>135</v>
      </c>
      <c r="O64" s="83" t="s">
        <v>519</v>
      </c>
      <c r="P64" s="72" t="s">
        <v>202</v>
      </c>
      <c r="Q64" s="72" t="s">
        <v>105</v>
      </c>
      <c r="R64" s="84" t="s">
        <v>206</v>
      </c>
      <c r="S64" s="72">
        <v>54</v>
      </c>
      <c r="T64" s="72">
        <v>9450</v>
      </c>
      <c r="U64" s="72">
        <v>4000</v>
      </c>
      <c r="V64" s="72">
        <v>50000</v>
      </c>
      <c r="W64" s="72" t="s">
        <v>204</v>
      </c>
      <c r="X64" s="74" t="s">
        <v>200</v>
      </c>
      <c r="Y64" s="72">
        <v>63</v>
      </c>
      <c r="Z64" s="248" t="s">
        <v>200</v>
      </c>
      <c r="AA64" s="248"/>
      <c r="AB64" s="248" t="s">
        <v>200</v>
      </c>
      <c r="AC64" s="248" t="s">
        <v>200</v>
      </c>
      <c r="AD64" s="248" t="s">
        <v>200</v>
      </c>
      <c r="AE64" s="248" t="s">
        <v>200</v>
      </c>
      <c r="AF64" s="248" t="s">
        <v>200</v>
      </c>
      <c r="AG64" s="248" t="s">
        <v>200</v>
      </c>
      <c r="AH64" s="248" t="s">
        <v>200</v>
      </c>
      <c r="AI64" s="248"/>
      <c r="AJ64" s="74" t="s">
        <v>200</v>
      </c>
      <c r="AK64" s="75">
        <v>63</v>
      </c>
      <c r="AL64" s="76" t="s">
        <v>138</v>
      </c>
      <c r="AM64" s="76" t="s">
        <v>520</v>
      </c>
      <c r="AN64" s="76" t="s">
        <v>202</v>
      </c>
      <c r="AO64" s="76" t="s">
        <v>901</v>
      </c>
      <c r="AP64" s="76">
        <v>8</v>
      </c>
      <c r="AQ64" s="76">
        <v>30</v>
      </c>
      <c r="AR64" s="76">
        <v>2700</v>
      </c>
      <c r="AS64" s="76">
        <v>6500</v>
      </c>
      <c r="AT64" s="76">
        <v>30000</v>
      </c>
      <c r="AU64" s="76" t="s">
        <v>204</v>
      </c>
      <c r="AV64" s="74"/>
      <c r="AW64" s="75">
        <v>63</v>
      </c>
      <c r="AX64" s="76" t="s">
        <v>126</v>
      </c>
      <c r="AY64" s="82" t="s">
        <v>521</v>
      </c>
      <c r="AZ64" s="76" t="s">
        <v>202</v>
      </c>
      <c r="BA64" s="78" t="s">
        <v>206</v>
      </c>
      <c r="BB64" s="78" t="s">
        <v>206</v>
      </c>
      <c r="BC64" s="76">
        <v>200</v>
      </c>
      <c r="BD64" s="76">
        <v>34000</v>
      </c>
      <c r="BE64" s="76">
        <v>4000</v>
      </c>
      <c r="BF64" s="76">
        <v>100000</v>
      </c>
      <c r="BG64" s="76" t="s">
        <v>204</v>
      </c>
    </row>
    <row r="65" spans="1:59">
      <c r="A65" s="70">
        <v>66</v>
      </c>
      <c r="B65" s="72" t="s">
        <v>134</v>
      </c>
      <c r="C65" s="72" t="s">
        <v>530</v>
      </c>
      <c r="D65" s="72" t="s">
        <v>208</v>
      </c>
      <c r="E65" s="72" t="s">
        <v>357</v>
      </c>
      <c r="F65" s="72" t="s">
        <v>531</v>
      </c>
      <c r="G65" s="72">
        <v>14</v>
      </c>
      <c r="H65" s="72">
        <v>2100</v>
      </c>
      <c r="I65" s="72">
        <v>4000</v>
      </c>
      <c r="J65" s="72">
        <v>50000</v>
      </c>
      <c r="K65" s="72" t="s">
        <v>514</v>
      </c>
      <c r="L65" s="74"/>
      <c r="M65" s="75">
        <v>64</v>
      </c>
      <c r="N65" s="72" t="s">
        <v>135</v>
      </c>
      <c r="O65" s="83" t="s">
        <v>523</v>
      </c>
      <c r="P65" s="72" t="s">
        <v>202</v>
      </c>
      <c r="Q65" s="72" t="s">
        <v>105</v>
      </c>
      <c r="R65" s="84" t="s">
        <v>206</v>
      </c>
      <c r="S65" s="72">
        <v>54</v>
      </c>
      <c r="T65" s="72">
        <v>9450</v>
      </c>
      <c r="U65" s="72">
        <v>6500</v>
      </c>
      <c r="V65" s="72">
        <v>50000</v>
      </c>
      <c r="W65" s="72" t="s">
        <v>204</v>
      </c>
      <c r="X65" s="74" t="s">
        <v>200</v>
      </c>
      <c r="Y65" s="72">
        <v>64</v>
      </c>
      <c r="Z65" s="248" t="s">
        <v>200</v>
      </c>
      <c r="AA65" s="248"/>
      <c r="AB65" s="248" t="s">
        <v>200</v>
      </c>
      <c r="AC65" s="248" t="s">
        <v>200</v>
      </c>
      <c r="AD65" s="248" t="s">
        <v>200</v>
      </c>
      <c r="AE65" s="248" t="s">
        <v>200</v>
      </c>
      <c r="AF65" s="248" t="s">
        <v>200</v>
      </c>
      <c r="AG65" s="248" t="s">
        <v>200</v>
      </c>
      <c r="AH65" s="248" t="s">
        <v>200</v>
      </c>
      <c r="AI65" s="248"/>
      <c r="AJ65" s="74" t="s">
        <v>200</v>
      </c>
      <c r="AK65" s="75">
        <v>64</v>
      </c>
      <c r="AL65" s="76" t="s">
        <v>138</v>
      </c>
      <c r="AM65" s="76" t="s">
        <v>524</v>
      </c>
      <c r="AN65" s="76" t="s">
        <v>202</v>
      </c>
      <c r="AO65" s="76" t="s">
        <v>903</v>
      </c>
      <c r="AP65" s="76">
        <v>6.8</v>
      </c>
      <c r="AQ65" s="76">
        <v>20</v>
      </c>
      <c r="AR65" s="76">
        <v>1800</v>
      </c>
      <c r="AS65" s="76">
        <v>3000</v>
      </c>
      <c r="AT65" s="76">
        <v>30000</v>
      </c>
      <c r="AU65" s="76" t="s">
        <v>204</v>
      </c>
      <c r="AV65" s="74"/>
      <c r="AW65" s="75">
        <v>64</v>
      </c>
      <c r="AX65" s="76" t="s">
        <v>126</v>
      </c>
      <c r="AY65" s="82" t="s">
        <v>525</v>
      </c>
      <c r="AZ65" s="76" t="s">
        <v>202</v>
      </c>
      <c r="BA65" s="78" t="s">
        <v>206</v>
      </c>
      <c r="BB65" s="78" t="s">
        <v>206</v>
      </c>
      <c r="BC65" s="76">
        <v>200</v>
      </c>
      <c r="BD65" s="76">
        <v>34000</v>
      </c>
      <c r="BE65" s="76">
        <v>6500</v>
      </c>
      <c r="BF65" s="76">
        <v>100000</v>
      </c>
      <c r="BG65" s="76" t="s">
        <v>204</v>
      </c>
    </row>
    <row r="66" spans="1:59">
      <c r="A66" s="70">
        <v>67</v>
      </c>
      <c r="B66" s="72" t="s">
        <v>134</v>
      </c>
      <c r="C66" s="72" t="s">
        <v>535</v>
      </c>
      <c r="D66" s="72" t="s">
        <v>208</v>
      </c>
      <c r="E66" s="72" t="s">
        <v>357</v>
      </c>
      <c r="F66" s="72" t="s">
        <v>531</v>
      </c>
      <c r="G66" s="72">
        <v>14</v>
      </c>
      <c r="H66" s="72">
        <v>2100</v>
      </c>
      <c r="I66" s="72">
        <v>6500</v>
      </c>
      <c r="J66" s="72">
        <v>50000</v>
      </c>
      <c r="K66" s="72" t="s">
        <v>514</v>
      </c>
      <c r="L66" s="74"/>
      <c r="M66" s="75">
        <v>65</v>
      </c>
      <c r="N66" s="72" t="s">
        <v>135</v>
      </c>
      <c r="O66" s="83" t="s">
        <v>527</v>
      </c>
      <c r="P66" s="72" t="s">
        <v>202</v>
      </c>
      <c r="Q66" s="72" t="s">
        <v>105</v>
      </c>
      <c r="R66" s="84" t="s">
        <v>206</v>
      </c>
      <c r="S66" s="72">
        <v>69</v>
      </c>
      <c r="T66" s="72">
        <v>10902</v>
      </c>
      <c r="U66" s="72">
        <v>2200</v>
      </c>
      <c r="V66" s="72">
        <v>50000</v>
      </c>
      <c r="W66" s="72" t="s">
        <v>204</v>
      </c>
      <c r="X66" s="74" t="s">
        <v>200</v>
      </c>
      <c r="Y66" s="72">
        <v>65</v>
      </c>
      <c r="Z66" s="248" t="s">
        <v>200</v>
      </c>
      <c r="AA66" s="248"/>
      <c r="AB66" s="248" t="s">
        <v>200</v>
      </c>
      <c r="AC66" s="248" t="s">
        <v>200</v>
      </c>
      <c r="AD66" s="248" t="s">
        <v>200</v>
      </c>
      <c r="AE66" s="248" t="s">
        <v>200</v>
      </c>
      <c r="AF66" s="248" t="s">
        <v>200</v>
      </c>
      <c r="AG66" s="248" t="s">
        <v>200</v>
      </c>
      <c r="AH66" s="248" t="s">
        <v>200</v>
      </c>
      <c r="AI66" s="248"/>
      <c r="AJ66" s="74" t="s">
        <v>200</v>
      </c>
      <c r="AK66" s="75">
        <v>65</v>
      </c>
      <c r="AL66" s="76" t="s">
        <v>138</v>
      </c>
      <c r="AM66" s="76" t="s">
        <v>528</v>
      </c>
      <c r="AN66" s="76" t="s">
        <v>202</v>
      </c>
      <c r="AO66" s="76" t="s">
        <v>903</v>
      </c>
      <c r="AP66" s="76">
        <v>6.8</v>
      </c>
      <c r="AQ66" s="76">
        <v>20</v>
      </c>
      <c r="AR66" s="76">
        <v>1800</v>
      </c>
      <c r="AS66" s="76">
        <v>4000</v>
      </c>
      <c r="AT66" s="76">
        <v>30000</v>
      </c>
      <c r="AU66" s="76" t="s">
        <v>204</v>
      </c>
      <c r="AV66" s="74"/>
      <c r="AW66" s="75">
        <v>65</v>
      </c>
      <c r="AX66" s="76" t="s">
        <v>139</v>
      </c>
      <c r="AY66" s="82" t="s">
        <v>529</v>
      </c>
      <c r="AZ66" s="76" t="s">
        <v>202</v>
      </c>
      <c r="BA66" s="78" t="s">
        <v>206</v>
      </c>
      <c r="BB66" s="78" t="s">
        <v>206</v>
      </c>
      <c r="BC66" s="76">
        <v>38</v>
      </c>
      <c r="BD66" s="76">
        <v>6080</v>
      </c>
      <c r="BE66" s="76">
        <v>4000</v>
      </c>
      <c r="BF66" s="76">
        <v>50000</v>
      </c>
      <c r="BG66" s="76" t="s">
        <v>204</v>
      </c>
    </row>
    <row r="67" spans="1:59">
      <c r="A67" s="70">
        <v>68</v>
      </c>
      <c r="B67" s="72" t="s">
        <v>134</v>
      </c>
      <c r="C67" s="72" t="s">
        <v>538</v>
      </c>
      <c r="D67" s="72" t="s">
        <v>208</v>
      </c>
      <c r="E67" s="72" t="s">
        <v>357</v>
      </c>
      <c r="F67" s="72" t="s">
        <v>531</v>
      </c>
      <c r="G67" s="72">
        <v>30</v>
      </c>
      <c r="H67" s="72">
        <v>4500</v>
      </c>
      <c r="I67" s="72">
        <v>4000</v>
      </c>
      <c r="J67" s="72">
        <v>50000</v>
      </c>
      <c r="K67" s="72" t="s">
        <v>514</v>
      </c>
      <c r="L67" s="74"/>
      <c r="M67" s="75">
        <v>66</v>
      </c>
      <c r="N67" s="72" t="s">
        <v>135</v>
      </c>
      <c r="O67" s="83" t="s">
        <v>532</v>
      </c>
      <c r="P67" s="72" t="s">
        <v>202</v>
      </c>
      <c r="Q67" s="72" t="s">
        <v>105</v>
      </c>
      <c r="R67" s="84" t="s">
        <v>206</v>
      </c>
      <c r="S67" s="72">
        <v>69</v>
      </c>
      <c r="T67" s="72">
        <v>10902</v>
      </c>
      <c r="U67" s="72">
        <v>2700</v>
      </c>
      <c r="V67" s="72">
        <v>50000</v>
      </c>
      <c r="W67" s="72" t="s">
        <v>204</v>
      </c>
      <c r="X67" s="74" t="s">
        <v>200</v>
      </c>
      <c r="Y67" s="72">
        <v>66</v>
      </c>
      <c r="Z67" s="248" t="s">
        <v>200</v>
      </c>
      <c r="AA67" s="248"/>
      <c r="AB67" s="248" t="s">
        <v>200</v>
      </c>
      <c r="AC67" s="248" t="s">
        <v>200</v>
      </c>
      <c r="AD67" s="248" t="s">
        <v>200</v>
      </c>
      <c r="AE67" s="248" t="s">
        <v>200</v>
      </c>
      <c r="AF67" s="248" t="s">
        <v>200</v>
      </c>
      <c r="AG67" s="248" t="s">
        <v>200</v>
      </c>
      <c r="AH67" s="248" t="s">
        <v>200</v>
      </c>
      <c r="AI67" s="248"/>
      <c r="AJ67" s="74" t="s">
        <v>200</v>
      </c>
      <c r="AK67" s="75">
        <v>66</v>
      </c>
      <c r="AL67" s="76" t="s">
        <v>138</v>
      </c>
      <c r="AM67" s="76" t="s">
        <v>533</v>
      </c>
      <c r="AN67" s="76" t="s">
        <v>202</v>
      </c>
      <c r="AO67" s="76" t="s">
        <v>903</v>
      </c>
      <c r="AP67" s="76">
        <v>6.8</v>
      </c>
      <c r="AQ67" s="76">
        <v>20</v>
      </c>
      <c r="AR67" s="76">
        <v>1800</v>
      </c>
      <c r="AS67" s="76">
        <v>6500</v>
      </c>
      <c r="AT67" s="76">
        <v>30000</v>
      </c>
      <c r="AU67" s="76" t="s">
        <v>204</v>
      </c>
      <c r="AV67" s="74"/>
      <c r="AW67" s="75">
        <v>66</v>
      </c>
      <c r="AX67" s="76" t="s">
        <v>139</v>
      </c>
      <c r="AY67" s="82" t="s">
        <v>534</v>
      </c>
      <c r="AZ67" s="76" t="s">
        <v>202</v>
      </c>
      <c r="BA67" s="78" t="s">
        <v>206</v>
      </c>
      <c r="BB67" s="78" t="s">
        <v>206</v>
      </c>
      <c r="BC67" s="76">
        <v>38</v>
      </c>
      <c r="BD67" s="76">
        <v>6080</v>
      </c>
      <c r="BE67" s="76">
        <v>6500</v>
      </c>
      <c r="BF67" s="76">
        <v>50000</v>
      </c>
      <c r="BG67" s="76" t="s">
        <v>204</v>
      </c>
    </row>
    <row r="68" spans="1:59">
      <c r="A68" s="70">
        <v>69</v>
      </c>
      <c r="B68" s="72" t="s">
        <v>134</v>
      </c>
      <c r="C68" s="72" t="s">
        <v>541</v>
      </c>
      <c r="D68" s="72" t="s">
        <v>208</v>
      </c>
      <c r="E68" s="72" t="s">
        <v>357</v>
      </c>
      <c r="F68" s="72" t="s">
        <v>531</v>
      </c>
      <c r="G68" s="72">
        <v>30</v>
      </c>
      <c r="H68" s="72">
        <v>4500</v>
      </c>
      <c r="I68" s="72">
        <v>6500</v>
      </c>
      <c r="J68" s="72">
        <v>50000</v>
      </c>
      <c r="K68" s="72" t="s">
        <v>514</v>
      </c>
      <c r="L68" s="74"/>
      <c r="M68" s="75">
        <v>67</v>
      </c>
      <c r="N68" s="72" t="s">
        <v>135</v>
      </c>
      <c r="O68" s="83" t="s">
        <v>536</v>
      </c>
      <c r="P68" s="72" t="s">
        <v>202</v>
      </c>
      <c r="Q68" s="72" t="s">
        <v>105</v>
      </c>
      <c r="R68" s="84" t="s">
        <v>206</v>
      </c>
      <c r="S68" s="72">
        <v>69</v>
      </c>
      <c r="T68" s="72">
        <v>12075</v>
      </c>
      <c r="U68" s="72">
        <v>4000</v>
      </c>
      <c r="V68" s="72">
        <v>50000</v>
      </c>
      <c r="W68" s="72" t="s">
        <v>204</v>
      </c>
      <c r="X68" s="74" t="s">
        <v>200</v>
      </c>
      <c r="Y68" s="72">
        <v>67</v>
      </c>
      <c r="Z68" s="248" t="s">
        <v>200</v>
      </c>
      <c r="AA68" s="248"/>
      <c r="AB68" s="248" t="s">
        <v>200</v>
      </c>
      <c r="AC68" s="248" t="s">
        <v>200</v>
      </c>
      <c r="AD68" s="248" t="s">
        <v>200</v>
      </c>
      <c r="AE68" s="248" t="s">
        <v>200</v>
      </c>
      <c r="AF68" s="248" t="s">
        <v>200</v>
      </c>
      <c r="AG68" s="248" t="s">
        <v>200</v>
      </c>
      <c r="AH68" s="248" t="s">
        <v>200</v>
      </c>
      <c r="AI68" s="248"/>
      <c r="AJ68" s="74" t="s">
        <v>200</v>
      </c>
      <c r="AK68" s="75">
        <v>70</v>
      </c>
      <c r="AL68" s="76" t="s">
        <v>138</v>
      </c>
      <c r="AM68" s="76" t="s">
        <v>547</v>
      </c>
      <c r="AN68" s="76" t="s">
        <v>202</v>
      </c>
      <c r="AO68" s="76" t="s">
        <v>904</v>
      </c>
      <c r="AP68" s="76">
        <v>12</v>
      </c>
      <c r="AQ68" s="76">
        <v>40</v>
      </c>
      <c r="AR68" s="76">
        <v>3600</v>
      </c>
      <c r="AS68" s="76">
        <v>3000</v>
      </c>
      <c r="AT68" s="76">
        <v>30000</v>
      </c>
      <c r="AU68" s="76" t="s">
        <v>204</v>
      </c>
      <c r="AV68" s="74"/>
      <c r="AW68" s="75">
        <v>67</v>
      </c>
      <c r="AX68" s="76" t="s">
        <v>139</v>
      </c>
      <c r="AY68" s="82" t="s">
        <v>537</v>
      </c>
      <c r="AZ68" s="76" t="s">
        <v>202</v>
      </c>
      <c r="BA68" s="78" t="s">
        <v>206</v>
      </c>
      <c r="BB68" s="78" t="s">
        <v>206</v>
      </c>
      <c r="BC68" s="76">
        <v>57</v>
      </c>
      <c r="BD68" s="76">
        <v>9120</v>
      </c>
      <c r="BE68" s="76">
        <v>4000</v>
      </c>
      <c r="BF68" s="76">
        <v>50000</v>
      </c>
      <c r="BG68" s="76" t="s">
        <v>204</v>
      </c>
    </row>
    <row r="69" spans="1:59">
      <c r="A69" s="70">
        <v>70</v>
      </c>
      <c r="B69" s="72" t="s">
        <v>134</v>
      </c>
      <c r="C69" s="72" t="s">
        <v>544</v>
      </c>
      <c r="D69" s="72" t="s">
        <v>208</v>
      </c>
      <c r="E69" s="72" t="s">
        <v>357</v>
      </c>
      <c r="F69" s="72" t="s">
        <v>545</v>
      </c>
      <c r="G69" s="72">
        <v>21</v>
      </c>
      <c r="H69" s="72">
        <v>3150</v>
      </c>
      <c r="I69" s="72">
        <v>4000</v>
      </c>
      <c r="J69" s="72">
        <v>50000</v>
      </c>
      <c r="K69" s="72" t="s">
        <v>514</v>
      </c>
      <c r="L69" s="74"/>
      <c r="M69" s="75">
        <v>68</v>
      </c>
      <c r="N69" s="72" t="s">
        <v>135</v>
      </c>
      <c r="O69" s="83" t="s">
        <v>539</v>
      </c>
      <c r="P69" s="72" t="s">
        <v>202</v>
      </c>
      <c r="Q69" s="72" t="s">
        <v>105</v>
      </c>
      <c r="R69" s="84" t="s">
        <v>206</v>
      </c>
      <c r="S69" s="72">
        <v>69</v>
      </c>
      <c r="T69" s="72">
        <v>12075</v>
      </c>
      <c r="U69" s="72">
        <v>6500</v>
      </c>
      <c r="V69" s="72">
        <v>50000</v>
      </c>
      <c r="W69" s="72" t="s">
        <v>204</v>
      </c>
      <c r="X69" s="74" t="s">
        <v>200</v>
      </c>
      <c r="Y69" s="72">
        <v>68</v>
      </c>
      <c r="Z69" s="248" t="s">
        <v>200</v>
      </c>
      <c r="AA69" s="248"/>
      <c r="AB69" s="248" t="s">
        <v>200</v>
      </c>
      <c r="AC69" s="248" t="s">
        <v>200</v>
      </c>
      <c r="AD69" s="248" t="s">
        <v>200</v>
      </c>
      <c r="AE69" s="248" t="s">
        <v>200</v>
      </c>
      <c r="AF69" s="248" t="s">
        <v>200</v>
      </c>
      <c r="AG69" s="248" t="s">
        <v>200</v>
      </c>
      <c r="AH69" s="248" t="s">
        <v>200</v>
      </c>
      <c r="AI69" s="248"/>
      <c r="AJ69" s="74" t="s">
        <v>200</v>
      </c>
      <c r="AK69" s="75">
        <v>71</v>
      </c>
      <c r="AL69" s="76" t="s">
        <v>138</v>
      </c>
      <c r="AM69" s="76" t="s">
        <v>551</v>
      </c>
      <c r="AN69" s="76" t="s">
        <v>202</v>
      </c>
      <c r="AO69" s="76" t="s">
        <v>904</v>
      </c>
      <c r="AP69" s="76">
        <v>12</v>
      </c>
      <c r="AQ69" s="76">
        <v>40</v>
      </c>
      <c r="AR69" s="76">
        <v>3600</v>
      </c>
      <c r="AS69" s="76">
        <v>4000</v>
      </c>
      <c r="AT69" s="76">
        <v>30000</v>
      </c>
      <c r="AU69" s="76" t="s">
        <v>204</v>
      </c>
      <c r="AV69" s="74"/>
      <c r="AW69" s="75">
        <v>68</v>
      </c>
      <c r="AX69" s="76" t="s">
        <v>139</v>
      </c>
      <c r="AY69" s="82" t="s">
        <v>540</v>
      </c>
      <c r="AZ69" s="76" t="s">
        <v>202</v>
      </c>
      <c r="BA69" s="78" t="s">
        <v>206</v>
      </c>
      <c r="BB69" s="78" t="s">
        <v>206</v>
      </c>
      <c r="BC69" s="76">
        <v>57</v>
      </c>
      <c r="BD69" s="76">
        <v>9120</v>
      </c>
      <c r="BE69" s="76">
        <v>6500</v>
      </c>
      <c r="BF69" s="76">
        <v>50000</v>
      </c>
      <c r="BG69" s="76" t="s">
        <v>204</v>
      </c>
    </row>
    <row r="70" spans="1:59">
      <c r="A70" s="70">
        <v>71</v>
      </c>
      <c r="B70" s="72" t="s">
        <v>134</v>
      </c>
      <c r="C70" s="72" t="s">
        <v>549</v>
      </c>
      <c r="D70" s="72" t="s">
        <v>208</v>
      </c>
      <c r="E70" s="72" t="s">
        <v>357</v>
      </c>
      <c r="F70" s="72" t="s">
        <v>545</v>
      </c>
      <c r="G70" s="72">
        <v>21</v>
      </c>
      <c r="H70" s="72">
        <v>3150</v>
      </c>
      <c r="I70" s="72">
        <v>6500</v>
      </c>
      <c r="J70" s="72">
        <v>50000</v>
      </c>
      <c r="K70" s="72" t="s">
        <v>514</v>
      </c>
      <c r="L70" s="74"/>
      <c r="M70" s="75">
        <v>69</v>
      </c>
      <c r="N70" s="72" t="s">
        <v>135</v>
      </c>
      <c r="O70" s="83" t="s">
        <v>542</v>
      </c>
      <c r="P70" s="72" t="s">
        <v>202</v>
      </c>
      <c r="Q70" s="72" t="s">
        <v>105</v>
      </c>
      <c r="R70" s="84" t="s">
        <v>206</v>
      </c>
      <c r="S70" s="72">
        <v>88</v>
      </c>
      <c r="T70" s="72">
        <v>13904</v>
      </c>
      <c r="U70" s="72">
        <v>2200</v>
      </c>
      <c r="V70" s="72">
        <v>50000</v>
      </c>
      <c r="W70" s="72" t="s">
        <v>204</v>
      </c>
      <c r="X70" s="74" t="s">
        <v>200</v>
      </c>
      <c r="Y70" s="72">
        <v>69</v>
      </c>
      <c r="Z70" s="248" t="s">
        <v>200</v>
      </c>
      <c r="AA70" s="248"/>
      <c r="AB70" s="248" t="s">
        <v>200</v>
      </c>
      <c r="AC70" s="248" t="s">
        <v>200</v>
      </c>
      <c r="AD70" s="248" t="s">
        <v>200</v>
      </c>
      <c r="AE70" s="248" t="s">
        <v>200</v>
      </c>
      <c r="AF70" s="248" t="s">
        <v>200</v>
      </c>
      <c r="AG70" s="248" t="s">
        <v>200</v>
      </c>
      <c r="AH70" s="248" t="s">
        <v>200</v>
      </c>
      <c r="AI70" s="248"/>
      <c r="AJ70" s="74" t="s">
        <v>200</v>
      </c>
      <c r="AK70" s="75">
        <v>72</v>
      </c>
      <c r="AL70" s="76" t="s">
        <v>138</v>
      </c>
      <c r="AM70" s="76" t="s">
        <v>555</v>
      </c>
      <c r="AN70" s="76" t="s">
        <v>202</v>
      </c>
      <c r="AO70" s="76" t="s">
        <v>904</v>
      </c>
      <c r="AP70" s="76">
        <v>12</v>
      </c>
      <c r="AQ70" s="76">
        <v>40</v>
      </c>
      <c r="AR70" s="76">
        <v>3600</v>
      </c>
      <c r="AS70" s="76">
        <v>6500</v>
      </c>
      <c r="AT70" s="76">
        <v>30000</v>
      </c>
      <c r="AU70" s="76" t="s">
        <v>204</v>
      </c>
      <c r="AV70" s="74"/>
      <c r="AW70" s="75">
        <v>69</v>
      </c>
      <c r="AX70" s="76" t="s">
        <v>139</v>
      </c>
      <c r="AY70" s="82" t="s">
        <v>543</v>
      </c>
      <c r="AZ70" s="76" t="s">
        <v>202</v>
      </c>
      <c r="BA70" s="78" t="s">
        <v>206</v>
      </c>
      <c r="BB70" s="78" t="s">
        <v>206</v>
      </c>
      <c r="BC70" s="76">
        <v>75</v>
      </c>
      <c r="BD70" s="76">
        <v>12000</v>
      </c>
      <c r="BE70" s="76">
        <v>4000</v>
      </c>
      <c r="BF70" s="76">
        <v>50000</v>
      </c>
      <c r="BG70" s="76" t="s">
        <v>204</v>
      </c>
    </row>
    <row r="71" spans="1:59">
      <c r="A71" s="70">
        <v>72</v>
      </c>
      <c r="B71" s="72" t="s">
        <v>134</v>
      </c>
      <c r="C71" s="72" t="s">
        <v>553</v>
      </c>
      <c r="D71" s="72" t="s">
        <v>208</v>
      </c>
      <c r="E71" s="72" t="s">
        <v>357</v>
      </c>
      <c r="F71" s="72" t="s">
        <v>545</v>
      </c>
      <c r="G71" s="72">
        <v>43</v>
      </c>
      <c r="H71" s="72">
        <v>6450</v>
      </c>
      <c r="I71" s="72">
        <v>4000</v>
      </c>
      <c r="J71" s="72">
        <v>50000</v>
      </c>
      <c r="K71" s="72" t="s">
        <v>514</v>
      </c>
      <c r="L71" s="74"/>
      <c r="M71" s="75">
        <v>70</v>
      </c>
      <c r="N71" s="72" t="s">
        <v>135</v>
      </c>
      <c r="O71" s="83" t="s">
        <v>546</v>
      </c>
      <c r="P71" s="72" t="s">
        <v>202</v>
      </c>
      <c r="Q71" s="72" t="s">
        <v>105</v>
      </c>
      <c r="R71" s="84" t="s">
        <v>206</v>
      </c>
      <c r="S71" s="72">
        <v>88</v>
      </c>
      <c r="T71" s="72">
        <v>13904</v>
      </c>
      <c r="U71" s="72">
        <v>2700</v>
      </c>
      <c r="V71" s="72">
        <v>50000</v>
      </c>
      <c r="W71" s="72" t="s">
        <v>204</v>
      </c>
      <c r="X71" s="74" t="s">
        <v>200</v>
      </c>
      <c r="Y71" s="72">
        <v>70</v>
      </c>
      <c r="Z71" s="248" t="s">
        <v>200</v>
      </c>
      <c r="AA71" s="248"/>
      <c r="AB71" s="248" t="s">
        <v>200</v>
      </c>
      <c r="AC71" s="248" t="s">
        <v>200</v>
      </c>
      <c r="AD71" s="248" t="s">
        <v>200</v>
      </c>
      <c r="AE71" s="248" t="s">
        <v>200</v>
      </c>
      <c r="AF71" s="248" t="s">
        <v>200</v>
      </c>
      <c r="AG71" s="248" t="s">
        <v>200</v>
      </c>
      <c r="AH71" s="248" t="s">
        <v>200</v>
      </c>
      <c r="AI71" s="248"/>
      <c r="AJ71" s="74" t="s">
        <v>200</v>
      </c>
      <c r="AK71" s="75">
        <v>73</v>
      </c>
      <c r="AL71" s="76" t="s">
        <v>138</v>
      </c>
      <c r="AM71" s="76" t="s">
        <v>559</v>
      </c>
      <c r="AN71" s="76" t="s">
        <v>202</v>
      </c>
      <c r="AO71" s="76" t="s">
        <v>899</v>
      </c>
      <c r="AP71" s="76">
        <v>4</v>
      </c>
      <c r="AQ71" s="76">
        <v>9</v>
      </c>
      <c r="AR71" s="76">
        <v>810</v>
      </c>
      <c r="AS71" s="76">
        <v>4000</v>
      </c>
      <c r="AT71" s="76">
        <v>25000</v>
      </c>
      <c r="AU71" s="76" t="s">
        <v>270</v>
      </c>
      <c r="AV71" s="74"/>
      <c r="AW71" s="75">
        <v>70</v>
      </c>
      <c r="AX71" s="76" t="s">
        <v>139</v>
      </c>
      <c r="AY71" s="82" t="s">
        <v>548</v>
      </c>
      <c r="AZ71" s="76" t="s">
        <v>202</v>
      </c>
      <c r="BA71" s="78" t="s">
        <v>206</v>
      </c>
      <c r="BB71" s="78" t="s">
        <v>206</v>
      </c>
      <c r="BC71" s="76">
        <v>75</v>
      </c>
      <c r="BD71" s="76">
        <v>12000</v>
      </c>
      <c r="BE71" s="76">
        <v>6500</v>
      </c>
      <c r="BF71" s="76">
        <v>50000</v>
      </c>
      <c r="BG71" s="76" t="s">
        <v>204</v>
      </c>
    </row>
    <row r="72" spans="1:59">
      <c r="A72" s="70">
        <v>73</v>
      </c>
      <c r="B72" s="72" t="s">
        <v>134</v>
      </c>
      <c r="C72" s="72" t="s">
        <v>557</v>
      </c>
      <c r="D72" s="72" t="s">
        <v>208</v>
      </c>
      <c r="E72" s="72" t="s">
        <v>357</v>
      </c>
      <c r="F72" s="72" t="s">
        <v>545</v>
      </c>
      <c r="G72" s="72">
        <v>43</v>
      </c>
      <c r="H72" s="72">
        <v>6450</v>
      </c>
      <c r="I72" s="72">
        <v>6500</v>
      </c>
      <c r="J72" s="72">
        <v>50000</v>
      </c>
      <c r="K72" s="72" t="s">
        <v>514</v>
      </c>
      <c r="L72" s="74"/>
      <c r="M72" s="75">
        <v>71</v>
      </c>
      <c r="N72" s="72" t="s">
        <v>135</v>
      </c>
      <c r="O72" s="83" t="s">
        <v>550</v>
      </c>
      <c r="P72" s="72" t="s">
        <v>202</v>
      </c>
      <c r="Q72" s="72" t="s">
        <v>105</v>
      </c>
      <c r="R72" s="84" t="s">
        <v>206</v>
      </c>
      <c r="S72" s="72">
        <v>88</v>
      </c>
      <c r="T72" s="72">
        <v>15400</v>
      </c>
      <c r="U72" s="72">
        <v>4000</v>
      </c>
      <c r="V72" s="72">
        <v>50000</v>
      </c>
      <c r="W72" s="72" t="s">
        <v>204</v>
      </c>
      <c r="X72" s="74" t="s">
        <v>200</v>
      </c>
      <c r="Y72" s="72">
        <v>71</v>
      </c>
      <c r="Z72" s="248" t="s">
        <v>200</v>
      </c>
      <c r="AA72" s="248"/>
      <c r="AB72" s="248" t="s">
        <v>200</v>
      </c>
      <c r="AC72" s="248" t="s">
        <v>200</v>
      </c>
      <c r="AD72" s="248" t="s">
        <v>200</v>
      </c>
      <c r="AE72" s="248" t="s">
        <v>200</v>
      </c>
      <c r="AF72" s="248" t="s">
        <v>200</v>
      </c>
      <c r="AG72" s="248" t="s">
        <v>200</v>
      </c>
      <c r="AH72" s="248" t="s">
        <v>200</v>
      </c>
      <c r="AI72" s="248"/>
      <c r="AJ72" s="74" t="s">
        <v>200</v>
      </c>
      <c r="AK72" s="75">
        <v>74</v>
      </c>
      <c r="AL72" s="76" t="s">
        <v>138</v>
      </c>
      <c r="AM72" s="76" t="s">
        <v>781</v>
      </c>
      <c r="AN72" s="76" t="s">
        <v>381</v>
      </c>
      <c r="AO72" s="76" t="s">
        <v>899</v>
      </c>
      <c r="AP72" s="76" t="s">
        <v>214</v>
      </c>
      <c r="AQ72" s="76">
        <v>5.8</v>
      </c>
      <c r="AR72" s="76">
        <v>750</v>
      </c>
      <c r="AS72" s="76">
        <v>4000</v>
      </c>
      <c r="AT72" s="76">
        <v>50000</v>
      </c>
      <c r="AU72" s="76" t="s">
        <v>270</v>
      </c>
      <c r="AV72" s="74"/>
      <c r="AW72" s="75">
        <v>71</v>
      </c>
      <c r="AX72" s="76" t="s">
        <v>139</v>
      </c>
      <c r="AY72" s="82" t="s">
        <v>552</v>
      </c>
      <c r="AZ72" s="76" t="s">
        <v>202</v>
      </c>
      <c r="BA72" s="78" t="s">
        <v>206</v>
      </c>
      <c r="BB72" s="78" t="s">
        <v>206</v>
      </c>
      <c r="BC72" s="76">
        <v>113</v>
      </c>
      <c r="BD72" s="76">
        <v>18080</v>
      </c>
      <c r="BE72" s="76">
        <v>4000</v>
      </c>
      <c r="BF72" s="76">
        <v>50000</v>
      </c>
      <c r="BG72" s="76" t="s">
        <v>204</v>
      </c>
    </row>
    <row r="73" spans="1:59">
      <c r="A73" s="70">
        <v>74</v>
      </c>
      <c r="B73" s="72" t="s">
        <v>134</v>
      </c>
      <c r="C73" s="72" t="s">
        <v>561</v>
      </c>
      <c r="D73" s="72" t="s">
        <v>208</v>
      </c>
      <c r="E73" s="72" t="s">
        <v>357</v>
      </c>
      <c r="F73" s="72" t="s">
        <v>545</v>
      </c>
      <c r="G73" s="72">
        <v>57</v>
      </c>
      <c r="H73" s="72">
        <v>8550</v>
      </c>
      <c r="I73" s="72">
        <v>4000</v>
      </c>
      <c r="J73" s="72">
        <v>50000</v>
      </c>
      <c r="K73" s="72" t="s">
        <v>514</v>
      </c>
      <c r="L73" s="74"/>
      <c r="M73" s="75">
        <v>72</v>
      </c>
      <c r="N73" s="72" t="s">
        <v>135</v>
      </c>
      <c r="O73" s="83" t="s">
        <v>554</v>
      </c>
      <c r="P73" s="72" t="s">
        <v>202</v>
      </c>
      <c r="Q73" s="72" t="s">
        <v>105</v>
      </c>
      <c r="R73" s="84" t="s">
        <v>206</v>
      </c>
      <c r="S73" s="72">
        <v>88</v>
      </c>
      <c r="T73" s="72">
        <v>15400</v>
      </c>
      <c r="U73" s="72">
        <v>6500</v>
      </c>
      <c r="V73" s="72">
        <v>50000</v>
      </c>
      <c r="W73" s="72" t="s">
        <v>204</v>
      </c>
      <c r="X73" s="74" t="s">
        <v>200</v>
      </c>
      <c r="Y73" s="72">
        <v>72</v>
      </c>
      <c r="Z73" s="248" t="s">
        <v>200</v>
      </c>
      <c r="AA73" s="248"/>
      <c r="AB73" s="248" t="s">
        <v>200</v>
      </c>
      <c r="AC73" s="248" t="s">
        <v>200</v>
      </c>
      <c r="AD73" s="248" t="s">
        <v>200</v>
      </c>
      <c r="AE73" s="248" t="s">
        <v>200</v>
      </c>
      <c r="AF73" s="248" t="s">
        <v>200</v>
      </c>
      <c r="AG73" s="248" t="s">
        <v>200</v>
      </c>
      <c r="AH73" s="248" t="s">
        <v>200</v>
      </c>
      <c r="AI73" s="248"/>
      <c r="AJ73" s="74" t="s">
        <v>200</v>
      </c>
      <c r="AK73" s="75">
        <v>75</v>
      </c>
      <c r="AL73" s="76" t="s">
        <v>138</v>
      </c>
      <c r="AM73" s="76" t="s">
        <v>782</v>
      </c>
      <c r="AN73" s="76" t="s">
        <v>381</v>
      </c>
      <c r="AO73" s="76" t="s">
        <v>899</v>
      </c>
      <c r="AP73" s="76" t="s">
        <v>214</v>
      </c>
      <c r="AQ73" s="76">
        <v>11.4</v>
      </c>
      <c r="AR73" s="76">
        <v>1500</v>
      </c>
      <c r="AS73" s="76">
        <v>4000</v>
      </c>
      <c r="AT73" s="76">
        <v>50000</v>
      </c>
      <c r="AU73" s="76" t="s">
        <v>270</v>
      </c>
      <c r="AV73" s="74"/>
      <c r="AW73" s="75">
        <v>72</v>
      </c>
      <c r="AX73" s="76" t="s">
        <v>139</v>
      </c>
      <c r="AY73" s="87" t="s">
        <v>556</v>
      </c>
      <c r="AZ73" s="76" t="s">
        <v>202</v>
      </c>
      <c r="BA73" s="78" t="s">
        <v>206</v>
      </c>
      <c r="BB73" s="78" t="s">
        <v>206</v>
      </c>
      <c r="BC73" s="76">
        <v>113</v>
      </c>
      <c r="BD73" s="76">
        <v>18080</v>
      </c>
      <c r="BE73" s="76">
        <v>6500</v>
      </c>
      <c r="BF73" s="76">
        <v>50000</v>
      </c>
      <c r="BG73" s="76" t="s">
        <v>204</v>
      </c>
    </row>
    <row r="74" spans="1:59">
      <c r="A74" s="70">
        <v>75</v>
      </c>
      <c r="B74" s="72" t="s">
        <v>134</v>
      </c>
      <c r="C74" s="72" t="s">
        <v>564</v>
      </c>
      <c r="D74" s="72" t="s">
        <v>208</v>
      </c>
      <c r="E74" s="72" t="s">
        <v>357</v>
      </c>
      <c r="F74" s="72" t="s">
        <v>545</v>
      </c>
      <c r="G74" s="72">
        <v>57</v>
      </c>
      <c r="H74" s="72">
        <v>8550</v>
      </c>
      <c r="I74" s="72">
        <v>6500</v>
      </c>
      <c r="J74" s="72">
        <v>50000</v>
      </c>
      <c r="K74" s="72" t="s">
        <v>514</v>
      </c>
      <c r="L74" s="74"/>
      <c r="M74" s="75">
        <v>73</v>
      </c>
      <c r="N74" s="72" t="s">
        <v>135</v>
      </c>
      <c r="O74" s="83" t="s">
        <v>558</v>
      </c>
      <c r="P74" s="72" t="s">
        <v>202</v>
      </c>
      <c r="Q74" s="72" t="s">
        <v>105</v>
      </c>
      <c r="R74" s="84" t="s">
        <v>206</v>
      </c>
      <c r="S74" s="72">
        <v>100</v>
      </c>
      <c r="T74" s="72">
        <v>15800</v>
      </c>
      <c r="U74" s="72">
        <v>2200</v>
      </c>
      <c r="V74" s="72">
        <v>50000</v>
      </c>
      <c r="W74" s="72" t="s">
        <v>204</v>
      </c>
      <c r="X74" s="74" t="s">
        <v>200</v>
      </c>
      <c r="Y74" s="72">
        <v>73</v>
      </c>
      <c r="Z74" s="248" t="s">
        <v>200</v>
      </c>
      <c r="AA74" s="248"/>
      <c r="AB74" s="248" t="s">
        <v>200</v>
      </c>
      <c r="AC74" s="248" t="s">
        <v>200</v>
      </c>
      <c r="AD74" s="248" t="s">
        <v>200</v>
      </c>
      <c r="AE74" s="248" t="s">
        <v>200</v>
      </c>
      <c r="AF74" s="248" t="s">
        <v>200</v>
      </c>
      <c r="AG74" s="248" t="s">
        <v>200</v>
      </c>
      <c r="AH74" s="248" t="s">
        <v>200</v>
      </c>
      <c r="AI74" s="248"/>
      <c r="AJ74" s="74" t="s">
        <v>200</v>
      </c>
      <c r="AK74" s="75">
        <v>76</v>
      </c>
      <c r="AL74" s="76" t="s">
        <v>138</v>
      </c>
      <c r="AM74" s="76" t="s">
        <v>784</v>
      </c>
      <c r="AN74" s="76" t="s">
        <v>381</v>
      </c>
      <c r="AO74" s="76" t="s">
        <v>900</v>
      </c>
      <c r="AP74" s="76" t="s">
        <v>230</v>
      </c>
      <c r="AQ74" s="76">
        <v>14.4</v>
      </c>
      <c r="AR74" s="76">
        <v>2000</v>
      </c>
      <c r="AS74" s="76">
        <v>4000</v>
      </c>
      <c r="AT74" s="76">
        <v>50000</v>
      </c>
      <c r="AU74" s="76" t="s">
        <v>270</v>
      </c>
      <c r="AV74" s="74"/>
      <c r="AW74" s="75">
        <v>73</v>
      </c>
      <c r="AX74" s="76" t="s">
        <v>139</v>
      </c>
      <c r="AY74" s="88" t="s">
        <v>560</v>
      </c>
      <c r="AZ74" s="76" t="s">
        <v>202</v>
      </c>
      <c r="BA74" s="78" t="s">
        <v>206</v>
      </c>
      <c r="BB74" s="78" t="s">
        <v>206</v>
      </c>
      <c r="BC74" s="76">
        <v>150</v>
      </c>
      <c r="BD74" s="76">
        <v>24000</v>
      </c>
      <c r="BE74" s="76">
        <v>4000</v>
      </c>
      <c r="BF74" s="76">
        <v>50000</v>
      </c>
      <c r="BG74" s="76" t="s">
        <v>204</v>
      </c>
    </row>
    <row r="75" spans="1:59">
      <c r="A75" s="70">
        <v>76</v>
      </c>
      <c r="B75" s="72" t="s">
        <v>119</v>
      </c>
      <c r="C75" s="72" t="s">
        <v>783</v>
      </c>
      <c r="D75" s="72" t="s">
        <v>215</v>
      </c>
      <c r="E75" s="72" t="s">
        <v>89</v>
      </c>
      <c r="F75" s="72" t="s">
        <v>567</v>
      </c>
      <c r="G75" s="72">
        <v>13.5</v>
      </c>
      <c r="H75" s="72">
        <v>2100</v>
      </c>
      <c r="I75" s="72">
        <v>4000</v>
      </c>
      <c r="J75" s="72">
        <v>50000</v>
      </c>
      <c r="K75" s="72" t="s">
        <v>270</v>
      </c>
      <c r="L75" s="74"/>
      <c r="M75" s="75">
        <v>74</v>
      </c>
      <c r="N75" s="72" t="s">
        <v>135</v>
      </c>
      <c r="O75" s="83" t="s">
        <v>562</v>
      </c>
      <c r="P75" s="72" t="s">
        <v>202</v>
      </c>
      <c r="Q75" s="72" t="s">
        <v>105</v>
      </c>
      <c r="R75" s="84" t="s">
        <v>206</v>
      </c>
      <c r="S75" s="72">
        <v>100</v>
      </c>
      <c r="T75" s="72">
        <v>15800</v>
      </c>
      <c r="U75" s="72">
        <v>2700</v>
      </c>
      <c r="V75" s="72">
        <v>50000</v>
      </c>
      <c r="W75" s="72" t="s">
        <v>204</v>
      </c>
      <c r="X75" s="74" t="s">
        <v>200</v>
      </c>
      <c r="Y75" s="72">
        <v>74</v>
      </c>
      <c r="Z75" s="248" t="s">
        <v>200</v>
      </c>
      <c r="AA75" s="248"/>
      <c r="AB75" s="248" t="s">
        <v>200</v>
      </c>
      <c r="AC75" s="248" t="s">
        <v>200</v>
      </c>
      <c r="AD75" s="248" t="s">
        <v>200</v>
      </c>
      <c r="AE75" s="248" t="s">
        <v>200</v>
      </c>
      <c r="AF75" s="248" t="s">
        <v>200</v>
      </c>
      <c r="AG75" s="248" t="s">
        <v>200</v>
      </c>
      <c r="AH75" s="248" t="s">
        <v>200</v>
      </c>
      <c r="AI75" s="248"/>
      <c r="AJ75" s="74" t="s">
        <v>200</v>
      </c>
      <c r="AK75" s="75">
        <v>77</v>
      </c>
      <c r="AL75" s="76" t="s">
        <v>138</v>
      </c>
      <c r="AM75" s="76" t="s">
        <v>786</v>
      </c>
      <c r="AN75" s="76" t="s">
        <v>381</v>
      </c>
      <c r="AO75" s="76" t="s">
        <v>901</v>
      </c>
      <c r="AP75" s="76" t="s">
        <v>262</v>
      </c>
      <c r="AQ75" s="76">
        <v>14.4</v>
      </c>
      <c r="AR75" s="76">
        <v>2000</v>
      </c>
      <c r="AS75" s="76">
        <v>4000</v>
      </c>
      <c r="AT75" s="76">
        <v>50000</v>
      </c>
      <c r="AU75" s="76" t="s">
        <v>270</v>
      </c>
      <c r="AV75" s="74" t="s">
        <v>200</v>
      </c>
      <c r="AW75" s="75">
        <v>74</v>
      </c>
      <c r="AX75" s="76" t="s">
        <v>139</v>
      </c>
      <c r="AY75" s="89" t="s">
        <v>563</v>
      </c>
      <c r="AZ75" s="76" t="s">
        <v>202</v>
      </c>
      <c r="BA75" s="78" t="s">
        <v>206</v>
      </c>
      <c r="BB75" s="78" t="s">
        <v>206</v>
      </c>
      <c r="BC75" s="76">
        <v>150</v>
      </c>
      <c r="BD75" s="76">
        <v>24000</v>
      </c>
      <c r="BE75" s="76">
        <v>6500</v>
      </c>
      <c r="BF75" s="76">
        <v>50000</v>
      </c>
      <c r="BG75" s="76" t="s">
        <v>204</v>
      </c>
    </row>
    <row r="76" spans="1:59">
      <c r="A76" s="70">
        <v>77</v>
      </c>
      <c r="B76" s="72" t="s">
        <v>119</v>
      </c>
      <c r="C76" s="72" t="s">
        <v>785</v>
      </c>
      <c r="D76" s="72" t="s">
        <v>215</v>
      </c>
      <c r="E76" s="72" t="s">
        <v>89</v>
      </c>
      <c r="F76" s="72" t="s">
        <v>567</v>
      </c>
      <c r="G76" s="72">
        <v>13.5</v>
      </c>
      <c r="H76" s="72">
        <v>2100</v>
      </c>
      <c r="I76" s="72">
        <v>6500</v>
      </c>
      <c r="J76" s="72">
        <v>50000</v>
      </c>
      <c r="K76" s="72" t="s">
        <v>270</v>
      </c>
      <c r="L76" s="74"/>
      <c r="M76" s="75">
        <v>75</v>
      </c>
      <c r="N76" s="72" t="s">
        <v>135</v>
      </c>
      <c r="O76" s="83" t="s">
        <v>565</v>
      </c>
      <c r="P76" s="72" t="s">
        <v>202</v>
      </c>
      <c r="Q76" s="72" t="s">
        <v>105</v>
      </c>
      <c r="R76" s="84" t="s">
        <v>206</v>
      </c>
      <c r="S76" s="72">
        <v>100</v>
      </c>
      <c r="T76" s="72">
        <v>17500</v>
      </c>
      <c r="U76" s="72">
        <v>4000</v>
      </c>
      <c r="V76" s="72">
        <v>50000</v>
      </c>
      <c r="W76" s="72" t="s">
        <v>204</v>
      </c>
      <c r="X76" s="74" t="s">
        <v>200</v>
      </c>
      <c r="Y76" s="72">
        <v>75</v>
      </c>
      <c r="Z76" s="248" t="s">
        <v>200</v>
      </c>
      <c r="AA76" s="248"/>
      <c r="AB76" s="248" t="s">
        <v>200</v>
      </c>
      <c r="AC76" s="248" t="s">
        <v>200</v>
      </c>
      <c r="AD76" s="248" t="s">
        <v>200</v>
      </c>
      <c r="AE76" s="248" t="s">
        <v>200</v>
      </c>
      <c r="AF76" s="248" t="s">
        <v>200</v>
      </c>
      <c r="AG76" s="248" t="s">
        <v>200</v>
      </c>
      <c r="AH76" s="248" t="s">
        <v>200</v>
      </c>
      <c r="AI76" s="248"/>
      <c r="AJ76" s="74" t="s">
        <v>200</v>
      </c>
      <c r="AK76" s="75">
        <v>78</v>
      </c>
      <c r="AL76" s="76" t="s">
        <v>138</v>
      </c>
      <c r="AM76" s="76" t="s">
        <v>788</v>
      </c>
      <c r="AN76" s="76" t="s">
        <v>381</v>
      </c>
      <c r="AO76" s="76" t="s">
        <v>901</v>
      </c>
      <c r="AP76" s="76" t="s">
        <v>262</v>
      </c>
      <c r="AQ76" s="76">
        <v>19.2</v>
      </c>
      <c r="AR76" s="76">
        <v>2600</v>
      </c>
      <c r="AS76" s="76">
        <v>4000</v>
      </c>
      <c r="AT76" s="76">
        <v>50000</v>
      </c>
      <c r="AU76" s="76" t="s">
        <v>270</v>
      </c>
      <c r="AV76" s="74" t="s">
        <v>200</v>
      </c>
      <c r="AW76" s="75">
        <v>75</v>
      </c>
      <c r="AX76" s="76" t="s">
        <v>139</v>
      </c>
      <c r="AY76" s="89" t="s">
        <v>566</v>
      </c>
      <c r="AZ76" s="76" t="s">
        <v>202</v>
      </c>
      <c r="BA76" s="78" t="s">
        <v>206</v>
      </c>
      <c r="BB76" s="78" t="s">
        <v>206</v>
      </c>
      <c r="BC76" s="76">
        <v>190</v>
      </c>
      <c r="BD76" s="76">
        <v>30400</v>
      </c>
      <c r="BE76" s="76">
        <v>4000</v>
      </c>
      <c r="BF76" s="76">
        <v>50000</v>
      </c>
      <c r="BG76" s="76" t="s">
        <v>204</v>
      </c>
    </row>
    <row r="77" spans="1:59">
      <c r="A77" s="70">
        <v>78</v>
      </c>
      <c r="B77" s="72" t="s">
        <v>119</v>
      </c>
      <c r="C77" s="72" t="s">
        <v>787</v>
      </c>
      <c r="D77" s="72" t="s">
        <v>215</v>
      </c>
      <c r="E77" s="72" t="s">
        <v>89</v>
      </c>
      <c r="F77" s="72" t="s">
        <v>572</v>
      </c>
      <c r="G77" s="72">
        <v>5.3</v>
      </c>
      <c r="H77" s="72">
        <v>1000</v>
      </c>
      <c r="I77" s="72">
        <v>4000</v>
      </c>
      <c r="J77" s="72">
        <v>50000</v>
      </c>
      <c r="K77" s="72" t="s">
        <v>204</v>
      </c>
      <c r="L77" s="74"/>
      <c r="M77" s="75">
        <v>76</v>
      </c>
      <c r="N77" s="72" t="s">
        <v>135</v>
      </c>
      <c r="O77" s="83" t="s">
        <v>568</v>
      </c>
      <c r="P77" s="72" t="s">
        <v>202</v>
      </c>
      <c r="Q77" s="72" t="s">
        <v>105</v>
      </c>
      <c r="R77" s="84" t="s">
        <v>206</v>
      </c>
      <c r="S77" s="72">
        <v>100</v>
      </c>
      <c r="T77" s="72">
        <v>17500</v>
      </c>
      <c r="U77" s="72">
        <v>6500</v>
      </c>
      <c r="V77" s="72">
        <v>50000</v>
      </c>
      <c r="W77" s="72" t="s">
        <v>204</v>
      </c>
      <c r="X77" s="74" t="s">
        <v>200</v>
      </c>
      <c r="Y77" s="72">
        <v>76</v>
      </c>
      <c r="Z77" s="248" t="s">
        <v>200</v>
      </c>
      <c r="AA77" s="248"/>
      <c r="AB77" s="248" t="s">
        <v>200</v>
      </c>
      <c r="AC77" s="248" t="s">
        <v>200</v>
      </c>
      <c r="AD77" s="248" t="s">
        <v>200</v>
      </c>
      <c r="AE77" s="248" t="s">
        <v>200</v>
      </c>
      <c r="AF77" s="248" t="s">
        <v>200</v>
      </c>
      <c r="AG77" s="248" t="s">
        <v>200</v>
      </c>
      <c r="AH77" s="248" t="s">
        <v>200</v>
      </c>
      <c r="AI77" s="248"/>
      <c r="AJ77" s="74" t="s">
        <v>200</v>
      </c>
      <c r="AK77" s="75">
        <v>79</v>
      </c>
      <c r="AL77" s="76" t="s">
        <v>138</v>
      </c>
      <c r="AM77" s="76" t="s">
        <v>790</v>
      </c>
      <c r="AN77" s="76" t="s">
        <v>381</v>
      </c>
      <c r="AO77" s="76" t="s">
        <v>901</v>
      </c>
      <c r="AP77" s="76" t="s">
        <v>262</v>
      </c>
      <c r="AQ77" s="76">
        <v>29.3</v>
      </c>
      <c r="AR77" s="76">
        <v>4000</v>
      </c>
      <c r="AS77" s="76">
        <v>4000</v>
      </c>
      <c r="AT77" s="76">
        <v>50000</v>
      </c>
      <c r="AU77" s="76" t="s">
        <v>270</v>
      </c>
      <c r="AV77" s="74" t="s">
        <v>200</v>
      </c>
      <c r="AW77" s="75">
        <v>76</v>
      </c>
      <c r="AX77" s="76" t="s">
        <v>139</v>
      </c>
      <c r="AY77" s="89" t="s">
        <v>569</v>
      </c>
      <c r="AZ77" s="76" t="s">
        <v>202</v>
      </c>
      <c r="BA77" s="78" t="s">
        <v>206</v>
      </c>
      <c r="BB77" s="78" t="s">
        <v>206</v>
      </c>
      <c r="BC77" s="76">
        <v>190</v>
      </c>
      <c r="BD77" s="76">
        <v>30400</v>
      </c>
      <c r="BE77" s="76">
        <v>6500</v>
      </c>
      <c r="BF77" s="76">
        <v>50000</v>
      </c>
      <c r="BG77" s="76" t="s">
        <v>204</v>
      </c>
    </row>
    <row r="78" spans="1:59">
      <c r="A78" s="70">
        <v>79</v>
      </c>
      <c r="B78" s="72" t="s">
        <v>119</v>
      </c>
      <c r="C78" s="72" t="s">
        <v>789</v>
      </c>
      <c r="D78" s="72" t="s">
        <v>215</v>
      </c>
      <c r="E78" s="72" t="s">
        <v>89</v>
      </c>
      <c r="F78" s="72" t="s">
        <v>572</v>
      </c>
      <c r="G78" s="72">
        <v>5.3</v>
      </c>
      <c r="H78" s="72">
        <v>1000</v>
      </c>
      <c r="I78" s="72">
        <v>6500</v>
      </c>
      <c r="J78" s="72">
        <v>50000</v>
      </c>
      <c r="K78" s="72" t="s">
        <v>204</v>
      </c>
      <c r="L78" s="74"/>
      <c r="M78" s="75">
        <v>77</v>
      </c>
      <c r="N78" s="72" t="s">
        <v>135</v>
      </c>
      <c r="O78" s="83" t="s">
        <v>570</v>
      </c>
      <c r="P78" s="72" t="s">
        <v>202</v>
      </c>
      <c r="Q78" s="72" t="s">
        <v>104</v>
      </c>
      <c r="R78" s="84" t="s">
        <v>206</v>
      </c>
      <c r="S78" s="72">
        <v>25</v>
      </c>
      <c r="T78" s="72">
        <v>2500</v>
      </c>
      <c r="U78" s="72">
        <v>3000</v>
      </c>
      <c r="V78" s="72">
        <v>30000</v>
      </c>
      <c r="W78" s="72" t="s">
        <v>270</v>
      </c>
      <c r="X78" s="74" t="s">
        <v>200</v>
      </c>
      <c r="Y78" s="72">
        <v>77</v>
      </c>
      <c r="Z78" s="248" t="s">
        <v>200</v>
      </c>
      <c r="AA78" s="248"/>
      <c r="AB78" s="248" t="s">
        <v>200</v>
      </c>
      <c r="AC78" s="248" t="s">
        <v>200</v>
      </c>
      <c r="AD78" s="248" t="s">
        <v>200</v>
      </c>
      <c r="AE78" s="248" t="s">
        <v>200</v>
      </c>
      <c r="AF78" s="248" t="s">
        <v>200</v>
      </c>
      <c r="AG78" s="248" t="s">
        <v>200</v>
      </c>
      <c r="AH78" s="248" t="s">
        <v>200</v>
      </c>
      <c r="AI78" s="248"/>
      <c r="AJ78" s="74" t="s">
        <v>200</v>
      </c>
      <c r="AK78" s="75">
        <v>80</v>
      </c>
      <c r="AL78" s="76" t="s">
        <v>138</v>
      </c>
      <c r="AM78" s="76" t="s">
        <v>792</v>
      </c>
      <c r="AN78" s="76" t="s">
        <v>381</v>
      </c>
      <c r="AO78" s="76" t="s">
        <v>900</v>
      </c>
      <c r="AP78" s="76" t="s">
        <v>230</v>
      </c>
      <c r="AQ78" s="76">
        <v>10</v>
      </c>
      <c r="AR78" s="76">
        <v>1700</v>
      </c>
      <c r="AS78" s="76">
        <v>4000</v>
      </c>
      <c r="AT78" s="76">
        <v>75000</v>
      </c>
      <c r="AU78" s="76" t="s">
        <v>270</v>
      </c>
      <c r="AV78" s="74" t="s">
        <v>200</v>
      </c>
      <c r="AW78" s="75">
        <v>77</v>
      </c>
      <c r="AX78" s="76" t="s">
        <v>139</v>
      </c>
      <c r="AY78" s="89" t="s">
        <v>571</v>
      </c>
      <c r="AZ78" s="76" t="s">
        <v>202</v>
      </c>
      <c r="BA78" s="78" t="s">
        <v>206</v>
      </c>
      <c r="BB78" s="78" t="s">
        <v>206</v>
      </c>
      <c r="BC78" s="76">
        <v>400</v>
      </c>
      <c r="BD78" s="76">
        <v>64000</v>
      </c>
      <c r="BE78" s="76">
        <v>4000</v>
      </c>
      <c r="BF78" s="76">
        <v>50000</v>
      </c>
      <c r="BG78" s="76" t="s">
        <v>204</v>
      </c>
    </row>
    <row r="79" spans="1:59">
      <c r="A79" s="70">
        <v>80</v>
      </c>
      <c r="B79" s="72" t="s">
        <v>119</v>
      </c>
      <c r="C79" s="72" t="s">
        <v>791</v>
      </c>
      <c r="D79" s="72" t="s">
        <v>215</v>
      </c>
      <c r="E79" s="72" t="s">
        <v>89</v>
      </c>
      <c r="F79" s="72" t="s">
        <v>567</v>
      </c>
      <c r="G79" s="72">
        <v>8.6999999999999993</v>
      </c>
      <c r="H79" s="72">
        <v>1800</v>
      </c>
      <c r="I79" s="72">
        <v>4000</v>
      </c>
      <c r="J79" s="72">
        <v>50000</v>
      </c>
      <c r="K79" s="72" t="s">
        <v>204</v>
      </c>
      <c r="L79" s="74"/>
      <c r="M79" s="75">
        <v>78</v>
      </c>
      <c r="N79" s="72" t="s">
        <v>135</v>
      </c>
      <c r="O79" s="83" t="s">
        <v>573</v>
      </c>
      <c r="P79" s="72" t="s">
        <v>202</v>
      </c>
      <c r="Q79" s="72" t="s">
        <v>104</v>
      </c>
      <c r="R79" s="84" t="s">
        <v>206</v>
      </c>
      <c r="S79" s="72">
        <v>25</v>
      </c>
      <c r="T79" s="72">
        <v>2500</v>
      </c>
      <c r="U79" s="72">
        <v>4000</v>
      </c>
      <c r="V79" s="72">
        <v>30000</v>
      </c>
      <c r="W79" s="72" t="s">
        <v>270</v>
      </c>
      <c r="X79" s="74" t="s">
        <v>200</v>
      </c>
      <c r="Y79" s="72">
        <v>78</v>
      </c>
      <c r="Z79" s="248" t="s">
        <v>200</v>
      </c>
      <c r="AA79" s="248"/>
      <c r="AB79" s="248" t="s">
        <v>200</v>
      </c>
      <c r="AC79" s="248" t="s">
        <v>200</v>
      </c>
      <c r="AD79" s="248" t="s">
        <v>200</v>
      </c>
      <c r="AE79" s="248" t="s">
        <v>200</v>
      </c>
      <c r="AF79" s="248" t="s">
        <v>200</v>
      </c>
      <c r="AG79" s="248" t="s">
        <v>200</v>
      </c>
      <c r="AH79" s="248" t="s">
        <v>200</v>
      </c>
      <c r="AI79" s="248"/>
      <c r="AJ79" s="74" t="s">
        <v>200</v>
      </c>
      <c r="AK79" s="75">
        <v>81</v>
      </c>
      <c r="AL79" s="76" t="s">
        <v>138</v>
      </c>
      <c r="AM79" s="76" t="s">
        <v>794</v>
      </c>
      <c r="AN79" s="76" t="s">
        <v>381</v>
      </c>
      <c r="AO79" s="76" t="s">
        <v>901</v>
      </c>
      <c r="AP79" s="76" t="s">
        <v>262</v>
      </c>
      <c r="AQ79" s="76">
        <v>13.2</v>
      </c>
      <c r="AR79" s="76">
        <v>2279</v>
      </c>
      <c r="AS79" s="76">
        <v>4000</v>
      </c>
      <c r="AT79" s="76">
        <v>75000</v>
      </c>
      <c r="AU79" s="76" t="s">
        <v>270</v>
      </c>
      <c r="AV79" s="74" t="s">
        <v>200</v>
      </c>
      <c r="AW79" s="75">
        <v>78</v>
      </c>
      <c r="AX79" s="76" t="s">
        <v>139</v>
      </c>
      <c r="AY79" s="89" t="s">
        <v>574</v>
      </c>
      <c r="AZ79" s="76" t="s">
        <v>202</v>
      </c>
      <c r="BA79" s="78" t="s">
        <v>206</v>
      </c>
      <c r="BB79" s="78" t="s">
        <v>206</v>
      </c>
      <c r="BC79" s="76">
        <v>400</v>
      </c>
      <c r="BD79" s="76">
        <v>64000</v>
      </c>
      <c r="BE79" s="76">
        <v>6500</v>
      </c>
      <c r="BF79" s="76">
        <v>50000</v>
      </c>
      <c r="BG79" s="76" t="s">
        <v>204</v>
      </c>
    </row>
    <row r="80" spans="1:59">
      <c r="A80" s="70">
        <v>81</v>
      </c>
      <c r="B80" s="72" t="s">
        <v>119</v>
      </c>
      <c r="C80" s="72" t="s">
        <v>793</v>
      </c>
      <c r="D80" s="72" t="s">
        <v>215</v>
      </c>
      <c r="E80" s="72" t="s">
        <v>89</v>
      </c>
      <c r="F80" s="72" t="s">
        <v>567</v>
      </c>
      <c r="G80" s="72">
        <v>8.6999999999999993</v>
      </c>
      <c r="H80" s="72">
        <v>1800</v>
      </c>
      <c r="I80" s="72">
        <v>6500</v>
      </c>
      <c r="J80" s="72">
        <v>50000</v>
      </c>
      <c r="K80" s="72" t="s">
        <v>204</v>
      </c>
      <c r="L80" s="74"/>
      <c r="M80" s="75">
        <v>79</v>
      </c>
      <c r="N80" s="72" t="s">
        <v>135</v>
      </c>
      <c r="O80" s="83" t="s">
        <v>575</v>
      </c>
      <c r="P80" s="72" t="s">
        <v>202</v>
      </c>
      <c r="Q80" s="72" t="s">
        <v>104</v>
      </c>
      <c r="R80" s="84" t="s">
        <v>206</v>
      </c>
      <c r="S80" s="72">
        <v>25</v>
      </c>
      <c r="T80" s="72">
        <v>2500</v>
      </c>
      <c r="U80" s="72">
        <v>6500</v>
      </c>
      <c r="V80" s="72">
        <v>30000</v>
      </c>
      <c r="W80" s="72" t="s">
        <v>270</v>
      </c>
      <c r="X80" s="74" t="s">
        <v>200</v>
      </c>
      <c r="Y80" s="72">
        <v>79</v>
      </c>
      <c r="Z80" s="248" t="s">
        <v>200</v>
      </c>
      <c r="AA80" s="248"/>
      <c r="AB80" s="248" t="s">
        <v>200</v>
      </c>
      <c r="AC80" s="248" t="s">
        <v>200</v>
      </c>
      <c r="AD80" s="248" t="s">
        <v>200</v>
      </c>
      <c r="AE80" s="248" t="s">
        <v>200</v>
      </c>
      <c r="AF80" s="248" t="s">
        <v>200</v>
      </c>
      <c r="AG80" s="248" t="s">
        <v>200</v>
      </c>
      <c r="AH80" s="248" t="s">
        <v>200</v>
      </c>
      <c r="AI80" s="248"/>
      <c r="AJ80" s="74" t="s">
        <v>200</v>
      </c>
      <c r="AK80" s="75">
        <v>82</v>
      </c>
      <c r="AL80" s="76" t="s">
        <v>138</v>
      </c>
      <c r="AM80" s="76" t="s">
        <v>796</v>
      </c>
      <c r="AN80" s="76" t="s">
        <v>381</v>
      </c>
      <c r="AO80" s="76" t="s">
        <v>905</v>
      </c>
      <c r="AP80" s="76" t="s">
        <v>583</v>
      </c>
      <c r="AQ80" s="76">
        <v>7.5</v>
      </c>
      <c r="AR80" s="76">
        <v>1185</v>
      </c>
      <c r="AS80" s="76">
        <v>4000</v>
      </c>
      <c r="AT80" s="76">
        <v>75000</v>
      </c>
      <c r="AU80" s="76" t="s">
        <v>270</v>
      </c>
      <c r="AV80" s="74" t="s">
        <v>200</v>
      </c>
      <c r="AW80" s="75">
        <v>79</v>
      </c>
      <c r="AX80" s="76" t="s">
        <v>139</v>
      </c>
      <c r="AY80" s="89" t="s">
        <v>576</v>
      </c>
      <c r="AZ80" s="76" t="s">
        <v>202</v>
      </c>
      <c r="BA80" s="78" t="s">
        <v>206</v>
      </c>
      <c r="BB80" s="78" t="s">
        <v>206</v>
      </c>
      <c r="BC80" s="76">
        <v>600</v>
      </c>
      <c r="BD80" s="76">
        <v>96000</v>
      </c>
      <c r="BE80" s="76">
        <v>4000</v>
      </c>
      <c r="BF80" s="76">
        <v>50000</v>
      </c>
      <c r="BG80" s="76" t="s">
        <v>204</v>
      </c>
    </row>
    <row r="81" spans="1:59">
      <c r="A81" s="70">
        <v>82</v>
      </c>
      <c r="B81" s="72" t="s">
        <v>119</v>
      </c>
      <c r="C81" s="72" t="s">
        <v>795</v>
      </c>
      <c r="D81" s="72" t="s">
        <v>215</v>
      </c>
      <c r="E81" s="72" t="s">
        <v>89</v>
      </c>
      <c r="F81" s="72" t="s">
        <v>581</v>
      </c>
      <c r="G81" s="72">
        <v>18.2</v>
      </c>
      <c r="H81" s="72">
        <v>3100</v>
      </c>
      <c r="I81" s="72">
        <v>4000</v>
      </c>
      <c r="J81" s="72">
        <v>50000</v>
      </c>
      <c r="K81" s="72" t="s">
        <v>270</v>
      </c>
      <c r="L81" s="74"/>
      <c r="M81" s="75">
        <v>80</v>
      </c>
      <c r="N81" s="72" t="s">
        <v>135</v>
      </c>
      <c r="O81" s="83" t="s">
        <v>577</v>
      </c>
      <c r="P81" s="72" t="s">
        <v>202</v>
      </c>
      <c r="Q81" s="72" t="s">
        <v>104</v>
      </c>
      <c r="R81" s="84" t="s">
        <v>206</v>
      </c>
      <c r="S81" s="72">
        <v>35</v>
      </c>
      <c r="T81" s="72">
        <v>3500</v>
      </c>
      <c r="U81" s="72">
        <v>3000</v>
      </c>
      <c r="V81" s="72">
        <v>30000</v>
      </c>
      <c r="W81" s="72" t="s">
        <v>270</v>
      </c>
      <c r="X81" s="74" t="s">
        <v>200</v>
      </c>
      <c r="Y81" s="72">
        <v>80</v>
      </c>
      <c r="Z81" s="248" t="s">
        <v>200</v>
      </c>
      <c r="AA81" s="248"/>
      <c r="AB81" s="248" t="s">
        <v>200</v>
      </c>
      <c r="AC81" s="248" t="s">
        <v>200</v>
      </c>
      <c r="AD81" s="248" t="s">
        <v>200</v>
      </c>
      <c r="AE81" s="248" t="s">
        <v>200</v>
      </c>
      <c r="AF81" s="248" t="s">
        <v>200</v>
      </c>
      <c r="AG81" s="248" t="s">
        <v>200</v>
      </c>
      <c r="AH81" s="248" t="s">
        <v>200</v>
      </c>
      <c r="AI81" s="248"/>
      <c r="AJ81" s="74" t="s">
        <v>200</v>
      </c>
      <c r="AK81" s="90">
        <v>83</v>
      </c>
      <c r="AL81" s="76" t="s">
        <v>138</v>
      </c>
      <c r="AM81" s="76" t="s">
        <v>798</v>
      </c>
      <c r="AN81" s="76" t="s">
        <v>381</v>
      </c>
      <c r="AO81" s="76" t="s">
        <v>901</v>
      </c>
      <c r="AP81" s="76" t="s">
        <v>262</v>
      </c>
      <c r="AQ81" s="76">
        <v>29.7</v>
      </c>
      <c r="AR81" s="76">
        <v>4324</v>
      </c>
      <c r="AS81" s="76">
        <v>4000</v>
      </c>
      <c r="AT81" s="76">
        <v>75000</v>
      </c>
      <c r="AU81" s="76" t="s">
        <v>270</v>
      </c>
      <c r="AV81" s="74" t="s">
        <v>200</v>
      </c>
      <c r="AW81" s="75">
        <v>80</v>
      </c>
      <c r="AX81" s="76" t="s">
        <v>139</v>
      </c>
      <c r="AY81" s="89" t="s">
        <v>578</v>
      </c>
      <c r="AZ81" s="76" t="s">
        <v>202</v>
      </c>
      <c r="BA81" s="78" t="s">
        <v>206</v>
      </c>
      <c r="BB81" s="78" t="s">
        <v>206</v>
      </c>
      <c r="BC81" s="76">
        <v>600</v>
      </c>
      <c r="BD81" s="76">
        <v>96000</v>
      </c>
      <c r="BE81" s="76">
        <v>6500</v>
      </c>
      <c r="BF81" s="76">
        <v>50000</v>
      </c>
      <c r="BG81" s="76" t="s">
        <v>204</v>
      </c>
    </row>
    <row r="82" spans="1:59">
      <c r="A82" s="70">
        <v>83</v>
      </c>
      <c r="B82" s="72" t="s">
        <v>119</v>
      </c>
      <c r="C82" s="72" t="s">
        <v>797</v>
      </c>
      <c r="D82" s="72" t="s">
        <v>215</v>
      </c>
      <c r="E82" s="72" t="s">
        <v>89</v>
      </c>
      <c r="F82" s="72" t="s">
        <v>581</v>
      </c>
      <c r="G82" s="72">
        <v>18.2</v>
      </c>
      <c r="H82" s="72">
        <v>3100</v>
      </c>
      <c r="I82" s="72">
        <v>6500</v>
      </c>
      <c r="J82" s="72">
        <v>50000</v>
      </c>
      <c r="K82" s="72" t="s">
        <v>270</v>
      </c>
      <c r="L82" s="74"/>
      <c r="M82" s="75">
        <v>81</v>
      </c>
      <c r="N82" s="72" t="s">
        <v>135</v>
      </c>
      <c r="O82" s="83" t="s">
        <v>579</v>
      </c>
      <c r="P82" s="72" t="s">
        <v>202</v>
      </c>
      <c r="Q82" s="72" t="s">
        <v>104</v>
      </c>
      <c r="R82" s="84" t="s">
        <v>206</v>
      </c>
      <c r="S82" s="72">
        <v>35</v>
      </c>
      <c r="T82" s="72">
        <v>3500</v>
      </c>
      <c r="U82" s="72">
        <v>4000</v>
      </c>
      <c r="V82" s="72">
        <v>30000</v>
      </c>
      <c r="W82" s="72" t="s">
        <v>270</v>
      </c>
      <c r="X82" s="74" t="s">
        <v>200</v>
      </c>
      <c r="Y82" s="72">
        <v>81</v>
      </c>
      <c r="Z82" s="248" t="s">
        <v>200</v>
      </c>
      <c r="AA82" s="248"/>
      <c r="AB82" s="248" t="s">
        <v>200</v>
      </c>
      <c r="AC82" s="248" t="s">
        <v>200</v>
      </c>
      <c r="AD82" s="248" t="s">
        <v>200</v>
      </c>
      <c r="AE82" s="248" t="s">
        <v>200</v>
      </c>
      <c r="AF82" s="248" t="s">
        <v>200</v>
      </c>
      <c r="AG82" s="248" t="s">
        <v>200</v>
      </c>
      <c r="AH82" s="248" t="s">
        <v>200</v>
      </c>
      <c r="AI82" s="248"/>
      <c r="AJ82" s="74" t="s">
        <v>200</v>
      </c>
      <c r="AK82" s="75">
        <v>84</v>
      </c>
      <c r="AL82" s="76" t="s">
        <v>138</v>
      </c>
      <c r="AM82" s="76" t="s">
        <v>800</v>
      </c>
      <c r="AN82" s="76" t="s">
        <v>381</v>
      </c>
      <c r="AO82" s="76" t="s">
        <v>899</v>
      </c>
      <c r="AP82" s="76" t="s">
        <v>214</v>
      </c>
      <c r="AQ82" s="76">
        <v>5.8</v>
      </c>
      <c r="AR82" s="76">
        <v>750</v>
      </c>
      <c r="AS82" s="76">
        <v>6500</v>
      </c>
      <c r="AT82" s="76">
        <v>50000</v>
      </c>
      <c r="AU82" s="76" t="s">
        <v>270</v>
      </c>
      <c r="AV82" s="74" t="s">
        <v>200</v>
      </c>
      <c r="AW82" s="75">
        <v>81</v>
      </c>
      <c r="AX82" s="76" t="s">
        <v>139</v>
      </c>
      <c r="AY82" s="76" t="s">
        <v>580</v>
      </c>
      <c r="AZ82" s="76" t="s">
        <v>202</v>
      </c>
      <c r="BA82" s="78" t="s">
        <v>206</v>
      </c>
      <c r="BB82" s="78" t="s">
        <v>206</v>
      </c>
      <c r="BC82" s="76">
        <v>800</v>
      </c>
      <c r="BD82" s="76">
        <v>128000</v>
      </c>
      <c r="BE82" s="76">
        <v>4000</v>
      </c>
      <c r="BF82" s="76">
        <v>50000</v>
      </c>
      <c r="BG82" s="76" t="s">
        <v>204</v>
      </c>
    </row>
    <row r="83" spans="1:59">
      <c r="A83" s="70">
        <v>84</v>
      </c>
      <c r="B83" s="72" t="s">
        <v>119</v>
      </c>
      <c r="C83" s="72" t="s">
        <v>799</v>
      </c>
      <c r="D83" s="72" t="s">
        <v>215</v>
      </c>
      <c r="E83" s="72" t="s">
        <v>94</v>
      </c>
      <c r="F83" s="72" t="s">
        <v>567</v>
      </c>
      <c r="G83" s="72">
        <v>16</v>
      </c>
      <c r="H83" s="72">
        <v>2100</v>
      </c>
      <c r="I83" s="72">
        <v>4000</v>
      </c>
      <c r="J83" s="72">
        <v>50000</v>
      </c>
      <c r="K83" s="72" t="s">
        <v>270</v>
      </c>
      <c r="L83" s="74"/>
      <c r="M83" s="75">
        <v>82</v>
      </c>
      <c r="N83" s="72" t="s">
        <v>135</v>
      </c>
      <c r="O83" s="83" t="s">
        <v>582</v>
      </c>
      <c r="P83" s="72" t="s">
        <v>202</v>
      </c>
      <c r="Q83" s="72" t="s">
        <v>104</v>
      </c>
      <c r="R83" s="84" t="s">
        <v>206</v>
      </c>
      <c r="S83" s="72">
        <v>35</v>
      </c>
      <c r="T83" s="72">
        <v>3500</v>
      </c>
      <c r="U83" s="72">
        <v>6500</v>
      </c>
      <c r="V83" s="72">
        <v>30000</v>
      </c>
      <c r="W83" s="72" t="s">
        <v>270</v>
      </c>
      <c r="X83" s="74" t="s">
        <v>200</v>
      </c>
      <c r="Y83" s="72">
        <v>82</v>
      </c>
      <c r="Z83" s="248" t="s">
        <v>200</v>
      </c>
      <c r="AA83" s="248"/>
      <c r="AB83" s="248" t="s">
        <v>200</v>
      </c>
      <c r="AC83" s="248" t="s">
        <v>200</v>
      </c>
      <c r="AD83" s="248" t="s">
        <v>200</v>
      </c>
      <c r="AE83" s="248" t="s">
        <v>200</v>
      </c>
      <c r="AF83" s="248" t="s">
        <v>200</v>
      </c>
      <c r="AG83" s="248" t="s">
        <v>200</v>
      </c>
      <c r="AH83" s="248" t="s">
        <v>200</v>
      </c>
      <c r="AI83" s="248"/>
      <c r="AJ83" s="74" t="s">
        <v>200</v>
      </c>
      <c r="AK83" s="90">
        <v>85</v>
      </c>
      <c r="AL83" s="76" t="s">
        <v>138</v>
      </c>
      <c r="AM83" s="76" t="s">
        <v>802</v>
      </c>
      <c r="AN83" s="76" t="s">
        <v>381</v>
      </c>
      <c r="AO83" s="76" t="s">
        <v>899</v>
      </c>
      <c r="AP83" s="76" t="s">
        <v>214</v>
      </c>
      <c r="AQ83" s="76">
        <v>11.4</v>
      </c>
      <c r="AR83" s="76">
        <v>1500</v>
      </c>
      <c r="AS83" s="76">
        <v>6500</v>
      </c>
      <c r="AT83" s="76">
        <v>50000</v>
      </c>
      <c r="AU83" s="76" t="s">
        <v>270</v>
      </c>
      <c r="AV83" s="74" t="s">
        <v>200</v>
      </c>
      <c r="AW83" s="75">
        <v>82</v>
      </c>
      <c r="AX83" s="76" t="s">
        <v>139</v>
      </c>
      <c r="AY83" s="76" t="s">
        <v>584</v>
      </c>
      <c r="AZ83" s="76" t="s">
        <v>202</v>
      </c>
      <c r="BA83" s="78" t="s">
        <v>206</v>
      </c>
      <c r="BB83" s="78" t="s">
        <v>206</v>
      </c>
      <c r="BC83" s="76">
        <v>800</v>
      </c>
      <c r="BD83" s="76">
        <v>128000</v>
      </c>
      <c r="BE83" s="76">
        <v>6500</v>
      </c>
      <c r="BF83" s="76">
        <v>50000</v>
      </c>
      <c r="BG83" s="76" t="s">
        <v>204</v>
      </c>
    </row>
    <row r="84" spans="1:59">
      <c r="A84" s="70">
        <v>85</v>
      </c>
      <c r="B84" s="72" t="s">
        <v>119</v>
      </c>
      <c r="C84" s="72" t="s">
        <v>801</v>
      </c>
      <c r="D84" s="72" t="s">
        <v>215</v>
      </c>
      <c r="E84" s="72" t="s">
        <v>94</v>
      </c>
      <c r="F84" s="72" t="s">
        <v>567</v>
      </c>
      <c r="G84" s="72">
        <v>16</v>
      </c>
      <c r="H84" s="72">
        <v>2100</v>
      </c>
      <c r="I84" s="72">
        <v>6500</v>
      </c>
      <c r="J84" s="72">
        <v>50000</v>
      </c>
      <c r="K84" s="72" t="s">
        <v>270</v>
      </c>
      <c r="L84" s="74"/>
      <c r="M84" s="75">
        <v>83</v>
      </c>
      <c r="N84" s="72" t="s">
        <v>135</v>
      </c>
      <c r="O84" s="83" t="s">
        <v>585</v>
      </c>
      <c r="P84" s="72" t="s">
        <v>202</v>
      </c>
      <c r="Q84" s="72" t="s">
        <v>104</v>
      </c>
      <c r="R84" s="84" t="s">
        <v>206</v>
      </c>
      <c r="S84" s="72">
        <v>42</v>
      </c>
      <c r="T84" s="72">
        <v>4200</v>
      </c>
      <c r="U84" s="72">
        <v>3000</v>
      </c>
      <c r="V84" s="72">
        <v>30000</v>
      </c>
      <c r="W84" s="72" t="s">
        <v>270</v>
      </c>
      <c r="X84" s="74" t="s">
        <v>200</v>
      </c>
      <c r="Y84" s="72">
        <v>83</v>
      </c>
      <c r="Z84" s="248" t="s">
        <v>200</v>
      </c>
      <c r="AA84" s="248"/>
      <c r="AB84" s="248" t="s">
        <v>200</v>
      </c>
      <c r="AC84" s="248" t="s">
        <v>200</v>
      </c>
      <c r="AD84" s="248" t="s">
        <v>200</v>
      </c>
      <c r="AE84" s="248" t="s">
        <v>200</v>
      </c>
      <c r="AF84" s="248" t="s">
        <v>200</v>
      </c>
      <c r="AG84" s="248" t="s">
        <v>200</v>
      </c>
      <c r="AH84" s="248" t="s">
        <v>200</v>
      </c>
      <c r="AI84" s="248"/>
      <c r="AJ84" s="74" t="s">
        <v>200</v>
      </c>
      <c r="AK84" s="75">
        <v>86</v>
      </c>
      <c r="AL84" s="76" t="s">
        <v>138</v>
      </c>
      <c r="AM84" s="76" t="s">
        <v>804</v>
      </c>
      <c r="AN84" s="76" t="s">
        <v>381</v>
      </c>
      <c r="AO84" s="76" t="s">
        <v>900</v>
      </c>
      <c r="AP84" s="76" t="s">
        <v>230</v>
      </c>
      <c r="AQ84" s="76">
        <v>14.4</v>
      </c>
      <c r="AR84" s="76">
        <v>2000</v>
      </c>
      <c r="AS84" s="76">
        <v>6500</v>
      </c>
      <c r="AT84" s="76">
        <v>50000</v>
      </c>
      <c r="AU84" s="76" t="s">
        <v>270</v>
      </c>
      <c r="AV84" s="74" t="s">
        <v>200</v>
      </c>
      <c r="AW84" s="75">
        <v>83</v>
      </c>
      <c r="AX84" s="76" t="s">
        <v>139</v>
      </c>
      <c r="AY84" s="76" t="s">
        <v>586</v>
      </c>
      <c r="AZ84" s="76" t="s">
        <v>202</v>
      </c>
      <c r="BA84" s="78" t="s">
        <v>206</v>
      </c>
      <c r="BB84" s="78" t="s">
        <v>206</v>
      </c>
      <c r="BC84" s="76">
        <v>1000</v>
      </c>
      <c r="BD84" s="76">
        <v>160000</v>
      </c>
      <c r="BE84" s="76">
        <v>4000</v>
      </c>
      <c r="BF84" s="76">
        <v>50000</v>
      </c>
      <c r="BG84" s="76" t="s">
        <v>204</v>
      </c>
    </row>
    <row r="85" spans="1:59">
      <c r="A85" s="70">
        <v>86</v>
      </c>
      <c r="B85" s="72" t="s">
        <v>119</v>
      </c>
      <c r="C85" s="72" t="s">
        <v>803</v>
      </c>
      <c r="D85" s="72" t="s">
        <v>215</v>
      </c>
      <c r="E85" s="72" t="s">
        <v>94</v>
      </c>
      <c r="F85" s="72" t="s">
        <v>572</v>
      </c>
      <c r="G85" s="72">
        <v>8</v>
      </c>
      <c r="H85" s="72">
        <v>1050</v>
      </c>
      <c r="I85" s="72">
        <v>4000</v>
      </c>
      <c r="J85" s="72">
        <v>50000</v>
      </c>
      <c r="K85" s="72" t="s">
        <v>270</v>
      </c>
      <c r="L85" s="74"/>
      <c r="M85" s="75">
        <v>84</v>
      </c>
      <c r="N85" s="72" t="s">
        <v>135</v>
      </c>
      <c r="O85" s="83" t="s">
        <v>587</v>
      </c>
      <c r="P85" s="72" t="s">
        <v>202</v>
      </c>
      <c r="Q85" s="72" t="s">
        <v>104</v>
      </c>
      <c r="R85" s="84" t="s">
        <v>206</v>
      </c>
      <c r="S85" s="72">
        <v>42</v>
      </c>
      <c r="T85" s="72">
        <v>4200</v>
      </c>
      <c r="U85" s="72">
        <v>4000</v>
      </c>
      <c r="V85" s="72">
        <v>30000</v>
      </c>
      <c r="W85" s="72" t="s">
        <v>270</v>
      </c>
      <c r="X85" s="74" t="s">
        <v>200</v>
      </c>
      <c r="Y85" s="72">
        <v>84</v>
      </c>
      <c r="Z85" s="248" t="s">
        <v>200</v>
      </c>
      <c r="AA85" s="248"/>
      <c r="AB85" s="248" t="s">
        <v>200</v>
      </c>
      <c r="AC85" s="248" t="s">
        <v>200</v>
      </c>
      <c r="AD85" s="248" t="s">
        <v>200</v>
      </c>
      <c r="AE85" s="248" t="s">
        <v>200</v>
      </c>
      <c r="AF85" s="248" t="s">
        <v>200</v>
      </c>
      <c r="AG85" s="248" t="s">
        <v>200</v>
      </c>
      <c r="AH85" s="248" t="s">
        <v>200</v>
      </c>
      <c r="AI85" s="248"/>
      <c r="AJ85" s="74" t="s">
        <v>200</v>
      </c>
      <c r="AK85" s="90">
        <v>87</v>
      </c>
      <c r="AL85" s="76" t="s">
        <v>138</v>
      </c>
      <c r="AM85" s="76" t="s">
        <v>806</v>
      </c>
      <c r="AN85" s="76" t="s">
        <v>381</v>
      </c>
      <c r="AO85" s="76" t="s">
        <v>901</v>
      </c>
      <c r="AP85" s="76" t="s">
        <v>262</v>
      </c>
      <c r="AQ85" s="76">
        <v>14.4</v>
      </c>
      <c r="AR85" s="76">
        <v>2000</v>
      </c>
      <c r="AS85" s="76">
        <v>6500</v>
      </c>
      <c r="AT85" s="76">
        <v>50000</v>
      </c>
      <c r="AU85" s="76" t="s">
        <v>270</v>
      </c>
      <c r="AV85" s="74" t="s">
        <v>200</v>
      </c>
      <c r="AW85" s="75">
        <v>84</v>
      </c>
      <c r="AX85" s="76" t="s">
        <v>139</v>
      </c>
      <c r="AY85" s="76" t="s">
        <v>588</v>
      </c>
      <c r="AZ85" s="76" t="s">
        <v>202</v>
      </c>
      <c r="BA85" s="78" t="s">
        <v>206</v>
      </c>
      <c r="BB85" s="78" t="s">
        <v>206</v>
      </c>
      <c r="BC85" s="76">
        <v>1000</v>
      </c>
      <c r="BD85" s="76">
        <v>160000</v>
      </c>
      <c r="BE85" s="76">
        <v>6500</v>
      </c>
      <c r="BF85" s="76">
        <v>50000</v>
      </c>
      <c r="BG85" s="76" t="s">
        <v>204</v>
      </c>
    </row>
    <row r="86" spans="1:59">
      <c r="A86" s="70">
        <v>87</v>
      </c>
      <c r="B86" s="72" t="s">
        <v>119</v>
      </c>
      <c r="C86" s="72" t="s">
        <v>805</v>
      </c>
      <c r="D86" s="72" t="s">
        <v>215</v>
      </c>
      <c r="E86" s="72" t="s">
        <v>94</v>
      </c>
      <c r="F86" s="72" t="s">
        <v>572</v>
      </c>
      <c r="G86" s="72">
        <v>8</v>
      </c>
      <c r="H86" s="72">
        <v>1050</v>
      </c>
      <c r="I86" s="72">
        <v>6500</v>
      </c>
      <c r="J86" s="72">
        <v>50000</v>
      </c>
      <c r="K86" s="72" t="s">
        <v>270</v>
      </c>
      <c r="L86" s="74"/>
      <c r="M86" s="75">
        <v>85</v>
      </c>
      <c r="N86" s="72" t="s">
        <v>135</v>
      </c>
      <c r="O86" s="72" t="s">
        <v>589</v>
      </c>
      <c r="P86" s="72" t="s">
        <v>202</v>
      </c>
      <c r="Q86" s="72" t="s">
        <v>104</v>
      </c>
      <c r="R86" s="84" t="s">
        <v>206</v>
      </c>
      <c r="S86" s="72">
        <v>42</v>
      </c>
      <c r="T86" s="72">
        <v>4200</v>
      </c>
      <c r="U86" s="72">
        <v>6500</v>
      </c>
      <c r="V86" s="72">
        <v>30000</v>
      </c>
      <c r="W86" s="72" t="s">
        <v>270</v>
      </c>
      <c r="X86" s="74" t="s">
        <v>200</v>
      </c>
      <c r="Y86" s="72">
        <v>85</v>
      </c>
      <c r="Z86" s="248" t="s">
        <v>200</v>
      </c>
      <c r="AA86" s="248"/>
      <c r="AB86" s="248" t="s">
        <v>200</v>
      </c>
      <c r="AC86" s="248" t="s">
        <v>200</v>
      </c>
      <c r="AD86" s="248" t="s">
        <v>200</v>
      </c>
      <c r="AE86" s="248" t="s">
        <v>200</v>
      </c>
      <c r="AF86" s="248" t="s">
        <v>200</v>
      </c>
      <c r="AG86" s="248" t="s">
        <v>200</v>
      </c>
      <c r="AH86" s="248" t="s">
        <v>200</v>
      </c>
      <c r="AI86" s="248"/>
      <c r="AJ86" s="74" t="s">
        <v>200</v>
      </c>
      <c r="AK86" s="75">
        <v>88</v>
      </c>
      <c r="AL86" s="76" t="s">
        <v>138</v>
      </c>
      <c r="AM86" s="76" t="s">
        <v>808</v>
      </c>
      <c r="AN86" s="76" t="s">
        <v>381</v>
      </c>
      <c r="AO86" s="76" t="s">
        <v>901</v>
      </c>
      <c r="AP86" s="76" t="s">
        <v>262</v>
      </c>
      <c r="AQ86" s="76">
        <v>19.2</v>
      </c>
      <c r="AR86" s="76">
        <v>2600</v>
      </c>
      <c r="AS86" s="76">
        <v>6500</v>
      </c>
      <c r="AT86" s="76">
        <v>50000</v>
      </c>
      <c r="AU86" s="76" t="s">
        <v>270</v>
      </c>
      <c r="AV86" s="74" t="s">
        <v>200</v>
      </c>
      <c r="AW86" s="75">
        <v>85</v>
      </c>
      <c r="AX86" s="76" t="s">
        <v>139</v>
      </c>
      <c r="AY86" s="76" t="s">
        <v>590</v>
      </c>
      <c r="AZ86" s="76" t="s">
        <v>202</v>
      </c>
      <c r="BA86" s="78" t="s">
        <v>206</v>
      </c>
      <c r="BB86" s="78" t="s">
        <v>206</v>
      </c>
      <c r="BC86" s="76">
        <v>1200</v>
      </c>
      <c r="BD86" s="76">
        <v>192000</v>
      </c>
      <c r="BE86" s="76">
        <v>4000</v>
      </c>
      <c r="BF86" s="76">
        <v>50000</v>
      </c>
      <c r="BG86" s="76" t="s">
        <v>204</v>
      </c>
    </row>
    <row r="87" spans="1:59">
      <c r="A87" s="70">
        <v>88</v>
      </c>
      <c r="B87" s="72" t="s">
        <v>119</v>
      </c>
      <c r="C87" s="72" t="s">
        <v>807</v>
      </c>
      <c r="D87" s="72" t="s">
        <v>215</v>
      </c>
      <c r="E87" s="72" t="s">
        <v>94</v>
      </c>
      <c r="F87" s="72" t="s">
        <v>581</v>
      </c>
      <c r="G87" s="72">
        <v>20</v>
      </c>
      <c r="H87" s="72">
        <v>3000</v>
      </c>
      <c r="I87" s="72">
        <v>4000</v>
      </c>
      <c r="J87" s="72">
        <v>50000</v>
      </c>
      <c r="K87" s="72" t="s">
        <v>270</v>
      </c>
      <c r="L87" s="74"/>
      <c r="M87" s="75">
        <v>86</v>
      </c>
      <c r="N87" s="72" t="s">
        <v>135</v>
      </c>
      <c r="O87" s="72" t="s">
        <v>591</v>
      </c>
      <c r="P87" s="72" t="s">
        <v>202</v>
      </c>
      <c r="Q87" s="72" t="s">
        <v>104</v>
      </c>
      <c r="R87" s="84" t="s">
        <v>206</v>
      </c>
      <c r="S87" s="72">
        <v>55</v>
      </c>
      <c r="T87" s="72">
        <v>5500</v>
      </c>
      <c r="U87" s="72">
        <v>3000</v>
      </c>
      <c r="V87" s="72">
        <v>30000</v>
      </c>
      <c r="W87" s="72" t="s">
        <v>270</v>
      </c>
      <c r="X87" s="74" t="s">
        <v>200</v>
      </c>
      <c r="Y87" s="72">
        <v>86</v>
      </c>
      <c r="Z87" s="248" t="s">
        <v>200</v>
      </c>
      <c r="AA87" s="248"/>
      <c r="AB87" s="248" t="s">
        <v>200</v>
      </c>
      <c r="AC87" s="248" t="s">
        <v>200</v>
      </c>
      <c r="AD87" s="248" t="s">
        <v>200</v>
      </c>
      <c r="AE87" s="248" t="s">
        <v>200</v>
      </c>
      <c r="AF87" s="248" t="s">
        <v>200</v>
      </c>
      <c r="AG87" s="248" t="s">
        <v>200</v>
      </c>
      <c r="AH87" s="248" t="s">
        <v>200</v>
      </c>
      <c r="AI87" s="248"/>
      <c r="AJ87" s="74" t="s">
        <v>200</v>
      </c>
      <c r="AK87" s="90">
        <v>89</v>
      </c>
      <c r="AL87" s="76" t="s">
        <v>138</v>
      </c>
      <c r="AM87" s="76" t="s">
        <v>809</v>
      </c>
      <c r="AN87" s="76" t="s">
        <v>381</v>
      </c>
      <c r="AO87" s="76" t="s">
        <v>901</v>
      </c>
      <c r="AP87" s="76" t="s">
        <v>262</v>
      </c>
      <c r="AQ87" s="76">
        <v>29.3</v>
      </c>
      <c r="AR87" s="76">
        <v>4000</v>
      </c>
      <c r="AS87" s="76">
        <v>6500</v>
      </c>
      <c r="AT87" s="76">
        <v>50000</v>
      </c>
      <c r="AU87" s="76" t="s">
        <v>270</v>
      </c>
      <c r="AV87" s="74" t="s">
        <v>200</v>
      </c>
      <c r="AW87" s="75">
        <v>86</v>
      </c>
      <c r="AX87" s="76" t="s">
        <v>139</v>
      </c>
      <c r="AY87" s="76" t="s">
        <v>592</v>
      </c>
      <c r="AZ87" s="76" t="s">
        <v>202</v>
      </c>
      <c r="BA87" s="78" t="s">
        <v>206</v>
      </c>
      <c r="BB87" s="78" t="s">
        <v>206</v>
      </c>
      <c r="BC87" s="76">
        <v>1200</v>
      </c>
      <c r="BD87" s="76">
        <v>192000</v>
      </c>
      <c r="BE87" s="76">
        <v>6500</v>
      </c>
      <c r="BF87" s="76">
        <v>50000</v>
      </c>
      <c r="BG87" s="76" t="s">
        <v>204</v>
      </c>
    </row>
    <row r="88" spans="1:59">
      <c r="A88" s="70">
        <v>91</v>
      </c>
      <c r="B88" s="72" t="s">
        <v>119</v>
      </c>
      <c r="C88" s="72" t="s">
        <v>810</v>
      </c>
      <c r="D88" s="72" t="s">
        <v>215</v>
      </c>
      <c r="E88" s="72" t="s">
        <v>94</v>
      </c>
      <c r="F88" s="72" t="s">
        <v>581</v>
      </c>
      <c r="G88" s="72">
        <v>26</v>
      </c>
      <c r="H88" s="72">
        <v>3900</v>
      </c>
      <c r="I88" s="72">
        <v>6500</v>
      </c>
      <c r="J88" s="72">
        <v>50000</v>
      </c>
      <c r="K88" s="72" t="s">
        <v>270</v>
      </c>
      <c r="L88" s="74"/>
      <c r="M88" s="75">
        <v>87</v>
      </c>
      <c r="N88" s="72" t="s">
        <v>135</v>
      </c>
      <c r="O88" s="72" t="s">
        <v>593</v>
      </c>
      <c r="P88" s="72" t="s">
        <v>202</v>
      </c>
      <c r="Q88" s="72" t="s">
        <v>104</v>
      </c>
      <c r="R88" s="84" t="s">
        <v>206</v>
      </c>
      <c r="S88" s="72">
        <v>55</v>
      </c>
      <c r="T88" s="72">
        <v>5500</v>
      </c>
      <c r="U88" s="72">
        <v>4000</v>
      </c>
      <c r="V88" s="72">
        <v>30000</v>
      </c>
      <c r="W88" s="72" t="s">
        <v>270</v>
      </c>
      <c r="X88" s="74" t="s">
        <v>200</v>
      </c>
      <c r="Y88" s="72">
        <v>87</v>
      </c>
      <c r="Z88" s="248" t="s">
        <v>200</v>
      </c>
      <c r="AA88" s="248"/>
      <c r="AB88" s="248" t="s">
        <v>200</v>
      </c>
      <c r="AC88" s="248" t="s">
        <v>200</v>
      </c>
      <c r="AD88" s="248" t="s">
        <v>200</v>
      </c>
      <c r="AE88" s="248" t="s">
        <v>200</v>
      </c>
      <c r="AF88" s="248" t="s">
        <v>200</v>
      </c>
      <c r="AG88" s="248" t="s">
        <v>200</v>
      </c>
      <c r="AH88" s="248" t="s">
        <v>200</v>
      </c>
      <c r="AI88" s="248"/>
      <c r="AJ88" s="74" t="s">
        <v>200</v>
      </c>
      <c r="AK88" s="72">
        <v>90</v>
      </c>
      <c r="AL88" s="76" t="s">
        <v>138</v>
      </c>
      <c r="AM88" s="76" t="s">
        <v>811</v>
      </c>
      <c r="AN88" s="76" t="s">
        <v>381</v>
      </c>
      <c r="AO88" s="76" t="s">
        <v>900</v>
      </c>
      <c r="AP88" s="76" t="s">
        <v>230</v>
      </c>
      <c r="AQ88" s="76">
        <v>10</v>
      </c>
      <c r="AR88" s="76">
        <v>1700</v>
      </c>
      <c r="AS88" s="76">
        <v>6500</v>
      </c>
      <c r="AT88" s="76">
        <v>75000</v>
      </c>
      <c r="AU88" s="76" t="s">
        <v>270</v>
      </c>
      <c r="AV88" s="74" t="s">
        <v>200</v>
      </c>
      <c r="AW88" s="75">
        <v>87</v>
      </c>
      <c r="AX88" s="76" t="s">
        <v>127</v>
      </c>
      <c r="AY88" s="76" t="s">
        <v>594</v>
      </c>
      <c r="AZ88" s="76" t="s">
        <v>595</v>
      </c>
      <c r="BA88" s="78" t="s">
        <v>206</v>
      </c>
      <c r="BB88" s="78" t="s">
        <v>206</v>
      </c>
      <c r="BC88" s="76">
        <v>30</v>
      </c>
      <c r="BD88" s="76">
        <v>4200</v>
      </c>
      <c r="BE88" s="76">
        <v>4000</v>
      </c>
      <c r="BF88" s="76">
        <v>100000</v>
      </c>
      <c r="BG88" s="91" t="s">
        <v>211</v>
      </c>
    </row>
    <row r="89" spans="1:59">
      <c r="A89" s="70">
        <v>92</v>
      </c>
      <c r="B89" s="72" t="s">
        <v>133</v>
      </c>
      <c r="C89" s="72" t="s">
        <v>813</v>
      </c>
      <c r="D89" s="72" t="s">
        <v>215</v>
      </c>
      <c r="E89" s="72" t="s">
        <v>604</v>
      </c>
      <c r="F89" s="72" t="s">
        <v>567</v>
      </c>
      <c r="G89" s="72">
        <v>12.6</v>
      </c>
      <c r="H89" s="72">
        <v>2000</v>
      </c>
      <c r="I89" s="72">
        <v>4000</v>
      </c>
      <c r="J89" s="72">
        <v>50000</v>
      </c>
      <c r="K89" s="72" t="s">
        <v>270</v>
      </c>
      <c r="L89" s="74"/>
      <c r="M89" s="75">
        <v>88</v>
      </c>
      <c r="N89" s="72" t="s">
        <v>135</v>
      </c>
      <c r="O89" s="72" t="s">
        <v>596</v>
      </c>
      <c r="P89" s="72" t="s">
        <v>202</v>
      </c>
      <c r="Q89" s="72" t="s">
        <v>104</v>
      </c>
      <c r="R89" s="84" t="s">
        <v>206</v>
      </c>
      <c r="S89" s="72">
        <v>55</v>
      </c>
      <c r="T89" s="72">
        <v>5500</v>
      </c>
      <c r="U89" s="72">
        <v>6500</v>
      </c>
      <c r="V89" s="72">
        <v>30000</v>
      </c>
      <c r="W89" s="72" t="s">
        <v>270</v>
      </c>
      <c r="X89" s="74" t="s">
        <v>200</v>
      </c>
      <c r="Y89" s="72">
        <v>88</v>
      </c>
      <c r="Z89" s="248" t="s">
        <v>200</v>
      </c>
      <c r="AA89" s="248"/>
      <c r="AB89" s="248" t="s">
        <v>200</v>
      </c>
      <c r="AC89" s="248" t="s">
        <v>200</v>
      </c>
      <c r="AD89" s="248" t="s">
        <v>200</v>
      </c>
      <c r="AE89" s="248" t="s">
        <v>200</v>
      </c>
      <c r="AF89" s="248" t="s">
        <v>200</v>
      </c>
      <c r="AG89" s="248" t="s">
        <v>200</v>
      </c>
      <c r="AH89" s="248" t="s">
        <v>200</v>
      </c>
      <c r="AI89" s="248"/>
      <c r="AJ89" s="74" t="s">
        <v>200</v>
      </c>
      <c r="AK89" s="72">
        <v>91</v>
      </c>
      <c r="AL89" s="76" t="s">
        <v>138</v>
      </c>
      <c r="AM89" s="76" t="s">
        <v>812</v>
      </c>
      <c r="AN89" s="76" t="s">
        <v>381</v>
      </c>
      <c r="AO89" s="76" t="s">
        <v>901</v>
      </c>
      <c r="AP89" s="76" t="s">
        <v>262</v>
      </c>
      <c r="AQ89" s="76">
        <v>13.2</v>
      </c>
      <c r="AR89" s="76">
        <v>2279</v>
      </c>
      <c r="AS89" s="76">
        <v>6500</v>
      </c>
      <c r="AT89" s="76">
        <v>75000</v>
      </c>
      <c r="AU89" s="76" t="s">
        <v>270</v>
      </c>
      <c r="AV89" s="74" t="s">
        <v>200</v>
      </c>
      <c r="AW89" s="75">
        <v>88</v>
      </c>
      <c r="AX89" s="76" t="s">
        <v>127</v>
      </c>
      <c r="AY89" s="76" t="s">
        <v>597</v>
      </c>
      <c r="AZ89" s="76" t="s">
        <v>595</v>
      </c>
      <c r="BA89" s="78" t="s">
        <v>206</v>
      </c>
      <c r="BB89" s="78" t="s">
        <v>206</v>
      </c>
      <c r="BC89" s="76">
        <v>45</v>
      </c>
      <c r="BD89" s="76">
        <v>6300</v>
      </c>
      <c r="BE89" s="76">
        <v>4000</v>
      </c>
      <c r="BF89" s="76">
        <v>100000</v>
      </c>
      <c r="BG89" s="92" t="s">
        <v>211</v>
      </c>
    </row>
    <row r="90" spans="1:59">
      <c r="A90" s="70">
        <v>93</v>
      </c>
      <c r="B90" s="72" t="s">
        <v>133</v>
      </c>
      <c r="C90" s="72" t="s">
        <v>815</v>
      </c>
      <c r="D90" s="72" t="s">
        <v>215</v>
      </c>
      <c r="E90" s="72" t="s">
        <v>604</v>
      </c>
      <c r="F90" s="72" t="s">
        <v>567</v>
      </c>
      <c r="G90" s="72">
        <v>25</v>
      </c>
      <c r="H90" s="72">
        <v>4000</v>
      </c>
      <c r="I90" s="72">
        <v>4000</v>
      </c>
      <c r="J90" s="72">
        <v>50000</v>
      </c>
      <c r="K90" s="72" t="s">
        <v>270</v>
      </c>
      <c r="L90" s="74"/>
      <c r="M90" s="75">
        <v>89</v>
      </c>
      <c r="N90" s="72" t="s">
        <v>128</v>
      </c>
      <c r="O90" s="72" t="s">
        <v>598</v>
      </c>
      <c r="P90" s="72" t="s">
        <v>301</v>
      </c>
      <c r="Q90" s="72" t="s">
        <v>104</v>
      </c>
      <c r="R90" s="72" t="s">
        <v>599</v>
      </c>
      <c r="S90" s="72">
        <v>7</v>
      </c>
      <c r="T90" s="72">
        <v>600</v>
      </c>
      <c r="U90" s="72">
        <v>2700</v>
      </c>
      <c r="V90" s="72">
        <v>15000</v>
      </c>
      <c r="W90" s="72" t="s">
        <v>204</v>
      </c>
      <c r="X90" s="74" t="s">
        <v>200</v>
      </c>
      <c r="Y90" s="72">
        <v>89</v>
      </c>
      <c r="Z90" s="248" t="s">
        <v>200</v>
      </c>
      <c r="AA90" s="248"/>
      <c r="AB90" s="248" t="s">
        <v>200</v>
      </c>
      <c r="AC90" s="248" t="s">
        <v>200</v>
      </c>
      <c r="AD90" s="248" t="s">
        <v>200</v>
      </c>
      <c r="AE90" s="248" t="s">
        <v>200</v>
      </c>
      <c r="AF90" s="248" t="s">
        <v>200</v>
      </c>
      <c r="AG90" s="248" t="s">
        <v>200</v>
      </c>
      <c r="AH90" s="248" t="s">
        <v>200</v>
      </c>
      <c r="AI90" s="248"/>
      <c r="AJ90" s="74" t="s">
        <v>200</v>
      </c>
      <c r="AK90" s="72">
        <v>92</v>
      </c>
      <c r="AL90" s="76" t="s">
        <v>138</v>
      </c>
      <c r="AM90" s="76" t="s">
        <v>814</v>
      </c>
      <c r="AN90" s="76" t="s">
        <v>381</v>
      </c>
      <c r="AO90" s="76" t="s">
        <v>905</v>
      </c>
      <c r="AP90" s="76" t="s">
        <v>583</v>
      </c>
      <c r="AQ90" s="76">
        <v>7.5</v>
      </c>
      <c r="AR90" s="76">
        <v>1185</v>
      </c>
      <c r="AS90" s="76">
        <v>6500</v>
      </c>
      <c r="AT90" s="76">
        <v>75000</v>
      </c>
      <c r="AU90" s="76" t="s">
        <v>270</v>
      </c>
      <c r="AV90" s="74" t="s">
        <v>200</v>
      </c>
      <c r="AW90" s="75">
        <v>89</v>
      </c>
      <c r="AX90" s="76" t="s">
        <v>127</v>
      </c>
      <c r="AY90" s="76" t="s">
        <v>600</v>
      </c>
      <c r="AZ90" s="76" t="s">
        <v>595</v>
      </c>
      <c r="BA90" s="78" t="s">
        <v>206</v>
      </c>
      <c r="BB90" s="78" t="s">
        <v>206</v>
      </c>
      <c r="BC90" s="76">
        <v>56</v>
      </c>
      <c r="BD90" s="76">
        <v>7840</v>
      </c>
      <c r="BE90" s="76">
        <v>4000</v>
      </c>
      <c r="BF90" s="76">
        <v>100000</v>
      </c>
      <c r="BG90" s="92" t="s">
        <v>211</v>
      </c>
    </row>
    <row r="91" spans="1:59">
      <c r="A91" s="70">
        <v>94</v>
      </c>
      <c r="B91" s="72" t="s">
        <v>133</v>
      </c>
      <c r="C91" s="72" t="s">
        <v>817</v>
      </c>
      <c r="D91" s="72" t="s">
        <v>215</v>
      </c>
      <c r="E91" s="72" t="s">
        <v>604</v>
      </c>
      <c r="F91" s="72" t="s">
        <v>567</v>
      </c>
      <c r="G91" s="72">
        <v>43</v>
      </c>
      <c r="H91" s="72">
        <v>6900</v>
      </c>
      <c r="I91" s="72" t="s">
        <v>609</v>
      </c>
      <c r="J91" s="72">
        <v>50000</v>
      </c>
      <c r="K91" s="72" t="s">
        <v>270</v>
      </c>
      <c r="L91" s="74"/>
      <c r="M91" s="75">
        <v>90</v>
      </c>
      <c r="N91" s="72" t="s">
        <v>128</v>
      </c>
      <c r="O91" s="72" t="s">
        <v>174</v>
      </c>
      <c r="P91" s="72" t="s">
        <v>301</v>
      </c>
      <c r="Q91" s="72" t="s">
        <v>104</v>
      </c>
      <c r="R91" s="72" t="s">
        <v>599</v>
      </c>
      <c r="S91" s="72">
        <v>7</v>
      </c>
      <c r="T91" s="72">
        <v>650</v>
      </c>
      <c r="U91" s="72">
        <v>4000</v>
      </c>
      <c r="V91" s="72">
        <v>15000</v>
      </c>
      <c r="W91" s="72" t="s">
        <v>204</v>
      </c>
      <c r="X91" s="74" t="s">
        <v>200</v>
      </c>
      <c r="Y91" s="72">
        <v>90</v>
      </c>
      <c r="Z91" s="248" t="s">
        <v>200</v>
      </c>
      <c r="AA91" s="248"/>
      <c r="AB91" s="248" t="s">
        <v>200</v>
      </c>
      <c r="AC91" s="248" t="s">
        <v>200</v>
      </c>
      <c r="AD91" s="248" t="s">
        <v>200</v>
      </c>
      <c r="AE91" s="248" t="s">
        <v>200</v>
      </c>
      <c r="AF91" s="248" t="s">
        <v>200</v>
      </c>
      <c r="AG91" s="248" t="s">
        <v>200</v>
      </c>
      <c r="AH91" s="248" t="s">
        <v>200</v>
      </c>
      <c r="AI91" s="248"/>
      <c r="AJ91" s="74" t="s">
        <v>200</v>
      </c>
      <c r="AK91" s="72">
        <v>93</v>
      </c>
      <c r="AL91" s="76" t="s">
        <v>138</v>
      </c>
      <c r="AM91" s="76" t="s">
        <v>816</v>
      </c>
      <c r="AN91" s="76" t="s">
        <v>381</v>
      </c>
      <c r="AO91" s="76" t="s">
        <v>901</v>
      </c>
      <c r="AP91" s="76" t="s">
        <v>262</v>
      </c>
      <c r="AQ91" s="76">
        <v>29.7</v>
      </c>
      <c r="AR91" s="76">
        <v>4324</v>
      </c>
      <c r="AS91" s="76">
        <v>6500</v>
      </c>
      <c r="AT91" s="76">
        <v>75000</v>
      </c>
      <c r="AU91" s="76" t="s">
        <v>270</v>
      </c>
      <c r="AV91" s="74" t="s">
        <v>200</v>
      </c>
      <c r="AW91" s="75">
        <v>90</v>
      </c>
      <c r="AX91" s="76" t="s">
        <v>127</v>
      </c>
      <c r="AY91" s="76" t="s">
        <v>601</v>
      </c>
      <c r="AZ91" s="76" t="s">
        <v>595</v>
      </c>
      <c r="BA91" s="78" t="s">
        <v>206</v>
      </c>
      <c r="BB91" s="78" t="s">
        <v>206</v>
      </c>
      <c r="BC91" s="76">
        <v>70</v>
      </c>
      <c r="BD91" s="76">
        <v>9800</v>
      </c>
      <c r="BE91" s="76">
        <v>4000</v>
      </c>
      <c r="BF91" s="76">
        <v>100000</v>
      </c>
      <c r="BG91" s="92" t="s">
        <v>211</v>
      </c>
    </row>
    <row r="92" spans="1:59" ht="13.5" customHeight="1">
      <c r="A92" s="70">
        <v>95</v>
      </c>
      <c r="B92" s="72" t="s">
        <v>133</v>
      </c>
      <c r="C92" s="72" t="s">
        <v>818</v>
      </c>
      <c r="D92" s="72" t="s">
        <v>215</v>
      </c>
      <c r="E92" s="72" t="s">
        <v>604</v>
      </c>
      <c r="F92" s="72" t="s">
        <v>572</v>
      </c>
      <c r="G92" s="72">
        <v>14.5</v>
      </c>
      <c r="H92" s="72">
        <v>2000</v>
      </c>
      <c r="I92" s="72" t="s">
        <v>609</v>
      </c>
      <c r="J92" s="72">
        <v>50000</v>
      </c>
      <c r="K92" s="72" t="s">
        <v>270</v>
      </c>
      <c r="L92" s="74"/>
      <c r="M92" s="75">
        <v>91</v>
      </c>
      <c r="N92" s="72" t="s">
        <v>128</v>
      </c>
      <c r="O92" s="72" t="s">
        <v>602</v>
      </c>
      <c r="P92" s="72" t="s">
        <v>301</v>
      </c>
      <c r="Q92" s="72" t="s">
        <v>104</v>
      </c>
      <c r="R92" s="72" t="s">
        <v>599</v>
      </c>
      <c r="S92" s="72">
        <v>7</v>
      </c>
      <c r="T92" s="72">
        <v>650</v>
      </c>
      <c r="U92" s="72">
        <v>6500</v>
      </c>
      <c r="V92" s="72">
        <v>15000</v>
      </c>
      <c r="W92" s="72" t="s">
        <v>204</v>
      </c>
      <c r="X92" s="74" t="s">
        <v>200</v>
      </c>
      <c r="Y92" s="72">
        <v>91</v>
      </c>
      <c r="Z92" s="248" t="s">
        <v>200</v>
      </c>
      <c r="AA92" s="248"/>
      <c r="AB92" s="248" t="s">
        <v>200</v>
      </c>
      <c r="AC92" s="248" t="s">
        <v>200</v>
      </c>
      <c r="AD92" s="248" t="s">
        <v>200</v>
      </c>
      <c r="AE92" s="248" t="s">
        <v>200</v>
      </c>
      <c r="AF92" s="248" t="s">
        <v>200</v>
      </c>
      <c r="AG92" s="248" t="s">
        <v>200</v>
      </c>
      <c r="AH92" s="248" t="s">
        <v>200</v>
      </c>
      <c r="AI92" s="248"/>
      <c r="AJ92" s="74" t="s">
        <v>200</v>
      </c>
      <c r="AK92" s="72">
        <v>94</v>
      </c>
      <c r="AL92" s="222"/>
      <c r="AM92" s="222" t="s">
        <v>620</v>
      </c>
      <c r="AN92" s="222"/>
      <c r="AO92" s="222"/>
      <c r="AP92" s="222"/>
      <c r="AQ92" s="222"/>
      <c r="AR92" s="222"/>
      <c r="AS92" s="222"/>
      <c r="AT92" s="222"/>
      <c r="AU92" s="222"/>
      <c r="AV92" s="74" t="s">
        <v>200</v>
      </c>
      <c r="AW92" s="75">
        <v>91</v>
      </c>
      <c r="AX92" s="76" t="s">
        <v>127</v>
      </c>
      <c r="AY92" s="76" t="s">
        <v>603</v>
      </c>
      <c r="AZ92" s="76" t="s">
        <v>595</v>
      </c>
      <c r="BA92" s="78" t="s">
        <v>206</v>
      </c>
      <c r="BB92" s="78" t="s">
        <v>206</v>
      </c>
      <c r="BC92" s="76">
        <v>100</v>
      </c>
      <c r="BD92" s="76">
        <v>14000</v>
      </c>
      <c r="BE92" s="76">
        <v>4000</v>
      </c>
      <c r="BF92" s="76">
        <v>100000</v>
      </c>
      <c r="BG92" s="92" t="s">
        <v>211</v>
      </c>
    </row>
    <row r="93" spans="1:59">
      <c r="A93" s="70">
        <v>96</v>
      </c>
      <c r="B93" s="72" t="s">
        <v>133</v>
      </c>
      <c r="C93" s="72" t="s">
        <v>819</v>
      </c>
      <c r="D93" s="72" t="s">
        <v>215</v>
      </c>
      <c r="E93" s="72" t="s">
        <v>604</v>
      </c>
      <c r="F93" s="72" t="s">
        <v>572</v>
      </c>
      <c r="G93" s="72">
        <v>15</v>
      </c>
      <c r="H93" s="72">
        <v>1900</v>
      </c>
      <c r="I93" s="72" t="s">
        <v>609</v>
      </c>
      <c r="J93" s="72">
        <v>75000</v>
      </c>
      <c r="K93" s="72" t="s">
        <v>270</v>
      </c>
      <c r="L93" s="74"/>
      <c r="M93" s="75">
        <v>92</v>
      </c>
      <c r="N93" s="72" t="s">
        <v>128</v>
      </c>
      <c r="O93" s="72" t="s">
        <v>605</v>
      </c>
      <c r="P93" s="72" t="s">
        <v>301</v>
      </c>
      <c r="Q93" s="72" t="s">
        <v>104</v>
      </c>
      <c r="R93" s="72" t="s">
        <v>599</v>
      </c>
      <c r="S93" s="72">
        <v>10</v>
      </c>
      <c r="T93" s="72">
        <v>1050</v>
      </c>
      <c r="U93" s="72">
        <v>2700</v>
      </c>
      <c r="V93" s="72">
        <v>15000</v>
      </c>
      <c r="W93" s="72" t="s">
        <v>204</v>
      </c>
      <c r="X93" s="74" t="s">
        <v>200</v>
      </c>
      <c r="Y93" s="72">
        <v>92</v>
      </c>
      <c r="Z93" s="248" t="s">
        <v>200</v>
      </c>
      <c r="AA93" s="248"/>
      <c r="AB93" s="248" t="s">
        <v>200</v>
      </c>
      <c r="AC93" s="248" t="s">
        <v>200</v>
      </c>
      <c r="AD93" s="248" t="s">
        <v>200</v>
      </c>
      <c r="AE93" s="248" t="s">
        <v>200</v>
      </c>
      <c r="AF93" s="248" t="s">
        <v>200</v>
      </c>
      <c r="AG93" s="248" t="s">
        <v>200</v>
      </c>
      <c r="AH93" s="248" t="s">
        <v>200</v>
      </c>
      <c r="AI93" s="248"/>
      <c r="AJ93" s="74" t="s">
        <v>200</v>
      </c>
      <c r="AK93" s="72">
        <v>95</v>
      </c>
      <c r="AL93" s="222"/>
      <c r="AM93" s="222" t="s">
        <v>620</v>
      </c>
      <c r="AN93" s="222"/>
      <c r="AO93" s="222"/>
      <c r="AP93" s="222"/>
      <c r="AQ93" s="222"/>
      <c r="AR93" s="222"/>
      <c r="AS93" s="222"/>
      <c r="AT93" s="222"/>
      <c r="AU93" s="222"/>
      <c r="AV93" s="74" t="s">
        <v>200</v>
      </c>
      <c r="AW93" s="75">
        <v>92</v>
      </c>
      <c r="AX93" s="76" t="s">
        <v>127</v>
      </c>
      <c r="AY93" s="76" t="s">
        <v>606</v>
      </c>
      <c r="AZ93" s="76" t="s">
        <v>595</v>
      </c>
      <c r="BA93" s="78" t="s">
        <v>206</v>
      </c>
      <c r="BB93" s="78" t="s">
        <v>206</v>
      </c>
      <c r="BC93" s="76">
        <v>130</v>
      </c>
      <c r="BD93" s="76">
        <v>18200</v>
      </c>
      <c r="BE93" s="76">
        <v>4000</v>
      </c>
      <c r="BF93" s="76">
        <v>100000</v>
      </c>
      <c r="BG93" s="92" t="s">
        <v>211</v>
      </c>
    </row>
    <row r="94" spans="1:59">
      <c r="A94" s="70">
        <v>97</v>
      </c>
      <c r="B94" s="72" t="s">
        <v>133</v>
      </c>
      <c r="C94" s="72" t="s">
        <v>820</v>
      </c>
      <c r="D94" s="72" t="s">
        <v>215</v>
      </c>
      <c r="E94" s="72" t="s">
        <v>604</v>
      </c>
      <c r="F94" s="72" t="s">
        <v>567</v>
      </c>
      <c r="G94" s="72">
        <v>28.6</v>
      </c>
      <c r="H94" s="72">
        <v>4000</v>
      </c>
      <c r="I94" s="72" t="s">
        <v>609</v>
      </c>
      <c r="J94" s="72">
        <v>75000</v>
      </c>
      <c r="K94" s="72" t="s">
        <v>270</v>
      </c>
      <c r="L94" s="74"/>
      <c r="M94" s="75">
        <v>93</v>
      </c>
      <c r="N94" s="72" t="s">
        <v>128</v>
      </c>
      <c r="O94" s="72" t="s">
        <v>607</v>
      </c>
      <c r="P94" s="72" t="s">
        <v>301</v>
      </c>
      <c r="Q94" s="72" t="s">
        <v>104</v>
      </c>
      <c r="R94" s="72" t="s">
        <v>599</v>
      </c>
      <c r="S94" s="72">
        <v>10</v>
      </c>
      <c r="T94" s="72">
        <v>1100</v>
      </c>
      <c r="U94" s="72">
        <v>4000</v>
      </c>
      <c r="V94" s="72">
        <v>15000</v>
      </c>
      <c r="W94" s="72" t="s">
        <v>204</v>
      </c>
      <c r="X94" s="74" t="s">
        <v>200</v>
      </c>
      <c r="Y94" s="72">
        <v>93</v>
      </c>
      <c r="Z94" s="248" t="s">
        <v>200</v>
      </c>
      <c r="AA94" s="248"/>
      <c r="AB94" s="248" t="s">
        <v>200</v>
      </c>
      <c r="AC94" s="248" t="s">
        <v>200</v>
      </c>
      <c r="AD94" s="248" t="s">
        <v>200</v>
      </c>
      <c r="AE94" s="248" t="s">
        <v>200</v>
      </c>
      <c r="AF94" s="248" t="s">
        <v>200</v>
      </c>
      <c r="AG94" s="248" t="s">
        <v>200</v>
      </c>
      <c r="AH94" s="248" t="s">
        <v>200</v>
      </c>
      <c r="AI94" s="248"/>
      <c r="AJ94" s="74" t="s">
        <v>200</v>
      </c>
      <c r="AK94" s="72">
        <v>96</v>
      </c>
      <c r="AL94" s="248"/>
      <c r="AM94" s="248"/>
      <c r="AN94" s="248"/>
      <c r="AO94" s="248"/>
      <c r="AP94" s="248"/>
      <c r="AQ94" s="248"/>
      <c r="AR94" s="248"/>
      <c r="AS94" s="248"/>
      <c r="AT94" s="248"/>
      <c r="AU94" s="248"/>
      <c r="AV94" s="74" t="s">
        <v>200</v>
      </c>
      <c r="AW94" s="75">
        <v>93</v>
      </c>
      <c r="AX94" s="76" t="s">
        <v>127</v>
      </c>
      <c r="AY94" s="76" t="s">
        <v>608</v>
      </c>
      <c r="AZ94" s="76" t="s">
        <v>215</v>
      </c>
      <c r="BA94" s="78" t="s">
        <v>206</v>
      </c>
      <c r="BB94" s="78" t="s">
        <v>206</v>
      </c>
      <c r="BC94" s="76">
        <v>73</v>
      </c>
      <c r="BD94" s="76">
        <v>11400</v>
      </c>
      <c r="BE94" s="76">
        <v>4000</v>
      </c>
      <c r="BF94" s="76">
        <v>100000</v>
      </c>
      <c r="BG94" s="92" t="s">
        <v>216</v>
      </c>
    </row>
    <row r="95" spans="1:59">
      <c r="A95" s="70">
        <v>98</v>
      </c>
      <c r="B95" s="72" t="s">
        <v>133</v>
      </c>
      <c r="C95" s="72" t="s">
        <v>821</v>
      </c>
      <c r="D95" s="72" t="s">
        <v>215</v>
      </c>
      <c r="E95" s="72" t="s">
        <v>604</v>
      </c>
      <c r="F95" s="72" t="s">
        <v>581</v>
      </c>
      <c r="G95" s="72">
        <v>57</v>
      </c>
      <c r="H95" s="72">
        <v>8000</v>
      </c>
      <c r="I95" s="72" t="s">
        <v>609</v>
      </c>
      <c r="J95" s="72">
        <v>75000</v>
      </c>
      <c r="K95" s="72" t="s">
        <v>270</v>
      </c>
      <c r="L95" s="74"/>
      <c r="M95" s="75">
        <v>94</v>
      </c>
      <c r="N95" s="72" t="s">
        <v>128</v>
      </c>
      <c r="O95" s="72" t="s">
        <v>610</v>
      </c>
      <c r="P95" s="72" t="s">
        <v>301</v>
      </c>
      <c r="Q95" s="72" t="s">
        <v>104</v>
      </c>
      <c r="R95" s="72" t="s">
        <v>599</v>
      </c>
      <c r="S95" s="72">
        <v>10</v>
      </c>
      <c r="T95" s="72">
        <v>1100</v>
      </c>
      <c r="U95" s="72">
        <v>6500</v>
      </c>
      <c r="V95" s="72">
        <v>15000</v>
      </c>
      <c r="W95" s="72" t="s">
        <v>204</v>
      </c>
      <c r="X95" s="74" t="s">
        <v>200</v>
      </c>
      <c r="Y95" s="72">
        <v>94</v>
      </c>
      <c r="Z95" s="248" t="s">
        <v>200</v>
      </c>
      <c r="AA95" s="248"/>
      <c r="AB95" s="248" t="s">
        <v>200</v>
      </c>
      <c r="AC95" s="248" t="s">
        <v>200</v>
      </c>
      <c r="AD95" s="248" t="s">
        <v>200</v>
      </c>
      <c r="AE95" s="248" t="s">
        <v>200</v>
      </c>
      <c r="AF95" s="248" t="s">
        <v>200</v>
      </c>
      <c r="AG95" s="248" t="s">
        <v>200</v>
      </c>
      <c r="AH95" s="248" t="s">
        <v>200</v>
      </c>
      <c r="AI95" s="248"/>
      <c r="AJ95" s="74" t="s">
        <v>200</v>
      </c>
      <c r="AK95" s="72">
        <v>97</v>
      </c>
      <c r="AL95" s="248" t="s">
        <v>200</v>
      </c>
      <c r="AM95" s="248"/>
      <c r="AN95" s="248" t="s">
        <v>200</v>
      </c>
      <c r="AO95" s="248" t="s">
        <v>200</v>
      </c>
      <c r="AP95" s="248" t="s">
        <v>200</v>
      </c>
      <c r="AQ95" s="248" t="s">
        <v>200</v>
      </c>
      <c r="AR95" s="248" t="s">
        <v>200</v>
      </c>
      <c r="AS95" s="248" t="s">
        <v>200</v>
      </c>
      <c r="AT95" s="248" t="s">
        <v>200</v>
      </c>
      <c r="AU95" s="248"/>
      <c r="AV95" s="74" t="s">
        <v>200</v>
      </c>
      <c r="AW95" s="75">
        <v>94</v>
      </c>
      <c r="AX95" s="76" t="s">
        <v>127</v>
      </c>
      <c r="AY95" s="76" t="s">
        <v>611</v>
      </c>
      <c r="AZ95" s="76" t="s">
        <v>215</v>
      </c>
      <c r="BA95" s="78" t="s">
        <v>206</v>
      </c>
      <c r="BB95" s="78" t="s">
        <v>206</v>
      </c>
      <c r="BC95" s="76">
        <v>150</v>
      </c>
      <c r="BD95" s="93">
        <v>21900</v>
      </c>
      <c r="BE95" s="76">
        <v>4000</v>
      </c>
      <c r="BF95" s="93">
        <v>100000</v>
      </c>
      <c r="BG95" s="92" t="s">
        <v>211</v>
      </c>
    </row>
    <row r="96" spans="1:59">
      <c r="A96" s="70">
        <v>99</v>
      </c>
      <c r="B96" s="72"/>
      <c r="C96" s="72" t="s">
        <v>182</v>
      </c>
      <c r="D96" s="72"/>
      <c r="E96" s="72"/>
      <c r="F96" s="72"/>
      <c r="G96" s="72"/>
      <c r="H96" s="72"/>
      <c r="I96" s="72"/>
      <c r="J96" s="72"/>
      <c r="K96" s="72">
        <v>2</v>
      </c>
      <c r="L96" s="74"/>
      <c r="M96" s="75">
        <v>95</v>
      </c>
      <c r="N96" s="72" t="s">
        <v>128</v>
      </c>
      <c r="O96" s="72" t="s">
        <v>612</v>
      </c>
      <c r="P96" s="72" t="s">
        <v>301</v>
      </c>
      <c r="Q96" s="72" t="s">
        <v>104</v>
      </c>
      <c r="R96" s="72" t="s">
        <v>613</v>
      </c>
      <c r="S96" s="72">
        <v>12</v>
      </c>
      <c r="T96" s="72">
        <v>1250</v>
      </c>
      <c r="U96" s="72">
        <v>2700</v>
      </c>
      <c r="V96" s="72">
        <v>15000</v>
      </c>
      <c r="W96" s="72" t="s">
        <v>204</v>
      </c>
      <c r="X96" s="74" t="s">
        <v>200</v>
      </c>
      <c r="Y96" s="72">
        <v>95</v>
      </c>
      <c r="Z96" s="248" t="s">
        <v>200</v>
      </c>
      <c r="AA96" s="248"/>
      <c r="AB96" s="248" t="s">
        <v>200</v>
      </c>
      <c r="AC96" s="248" t="s">
        <v>200</v>
      </c>
      <c r="AD96" s="248" t="s">
        <v>200</v>
      </c>
      <c r="AE96" s="248" t="s">
        <v>200</v>
      </c>
      <c r="AF96" s="248" t="s">
        <v>200</v>
      </c>
      <c r="AG96" s="248" t="s">
        <v>200</v>
      </c>
      <c r="AH96" s="248" t="s">
        <v>200</v>
      </c>
      <c r="AI96" s="248"/>
      <c r="AJ96" s="74" t="s">
        <v>200</v>
      </c>
      <c r="AK96" s="72">
        <v>98</v>
      </c>
      <c r="AL96" s="248" t="s">
        <v>200</v>
      </c>
      <c r="AM96" s="248"/>
      <c r="AN96" s="248" t="s">
        <v>200</v>
      </c>
      <c r="AO96" s="248" t="s">
        <v>200</v>
      </c>
      <c r="AP96" s="248" t="s">
        <v>200</v>
      </c>
      <c r="AQ96" s="248" t="s">
        <v>200</v>
      </c>
      <c r="AR96" s="248" t="s">
        <v>200</v>
      </c>
      <c r="AS96" s="248" t="s">
        <v>200</v>
      </c>
      <c r="AT96" s="248" t="s">
        <v>200</v>
      </c>
      <c r="AU96" s="248"/>
      <c r="AV96" s="74" t="s">
        <v>200</v>
      </c>
      <c r="AW96" s="75">
        <v>96</v>
      </c>
      <c r="AX96" s="76" t="s">
        <v>127</v>
      </c>
      <c r="AY96" s="76" t="s">
        <v>614</v>
      </c>
      <c r="AZ96" s="76" t="s">
        <v>215</v>
      </c>
      <c r="BA96" s="78" t="s">
        <v>206</v>
      </c>
      <c r="BB96" s="78" t="s">
        <v>206</v>
      </c>
      <c r="BC96" s="76">
        <v>110</v>
      </c>
      <c r="BD96" s="93">
        <v>16000</v>
      </c>
      <c r="BE96" s="76">
        <v>4000</v>
      </c>
      <c r="BF96" s="93">
        <v>100000</v>
      </c>
      <c r="BG96" s="92" t="s">
        <v>211</v>
      </c>
    </row>
    <row r="97" spans="1:59">
      <c r="A97" s="70">
        <v>100</v>
      </c>
      <c r="B97" s="222"/>
      <c r="C97" s="222" t="s">
        <v>620</v>
      </c>
      <c r="D97" s="222"/>
      <c r="E97" s="222"/>
      <c r="F97" s="222"/>
      <c r="G97" s="222"/>
      <c r="H97" s="222"/>
      <c r="I97" s="222"/>
      <c r="J97" s="222"/>
      <c r="K97" s="222"/>
      <c r="L97" s="74"/>
      <c r="M97" s="75">
        <v>96</v>
      </c>
      <c r="N97" s="72" t="s">
        <v>128</v>
      </c>
      <c r="O97" s="72" t="s">
        <v>175</v>
      </c>
      <c r="P97" s="72" t="s">
        <v>301</v>
      </c>
      <c r="Q97" s="72" t="s">
        <v>104</v>
      </c>
      <c r="R97" s="72" t="s">
        <v>613</v>
      </c>
      <c r="S97" s="72">
        <v>12</v>
      </c>
      <c r="T97" s="72">
        <v>1300</v>
      </c>
      <c r="U97" s="72">
        <v>4000</v>
      </c>
      <c r="V97" s="72">
        <v>15000</v>
      </c>
      <c r="W97" s="72" t="s">
        <v>204</v>
      </c>
      <c r="X97" s="74" t="s">
        <v>200</v>
      </c>
      <c r="Y97" s="72">
        <v>96</v>
      </c>
      <c r="Z97" s="248" t="s">
        <v>200</v>
      </c>
      <c r="AA97" s="248"/>
      <c r="AB97" s="248" t="s">
        <v>200</v>
      </c>
      <c r="AC97" s="248" t="s">
        <v>200</v>
      </c>
      <c r="AD97" s="248" t="s">
        <v>200</v>
      </c>
      <c r="AE97" s="248" t="s">
        <v>200</v>
      </c>
      <c r="AF97" s="248" t="s">
        <v>200</v>
      </c>
      <c r="AG97" s="248" t="s">
        <v>200</v>
      </c>
      <c r="AH97" s="248" t="s">
        <v>200</v>
      </c>
      <c r="AI97" s="248"/>
      <c r="AJ97" s="74" t="s">
        <v>200</v>
      </c>
      <c r="AK97" s="72">
        <v>99</v>
      </c>
      <c r="AL97" s="248" t="s">
        <v>200</v>
      </c>
      <c r="AM97" s="248"/>
      <c r="AN97" s="248" t="s">
        <v>200</v>
      </c>
      <c r="AO97" s="248" t="s">
        <v>200</v>
      </c>
      <c r="AP97" s="248" t="s">
        <v>200</v>
      </c>
      <c r="AQ97" s="248" t="s">
        <v>200</v>
      </c>
      <c r="AR97" s="248" t="s">
        <v>200</v>
      </c>
      <c r="AS97" s="248" t="s">
        <v>200</v>
      </c>
      <c r="AT97" s="248" t="s">
        <v>200</v>
      </c>
      <c r="AU97" s="248"/>
      <c r="AV97" s="74" t="s">
        <v>200</v>
      </c>
      <c r="AW97" s="75">
        <v>97</v>
      </c>
      <c r="AX97" s="76" t="s">
        <v>127</v>
      </c>
      <c r="AY97" s="76" t="s">
        <v>616</v>
      </c>
      <c r="AZ97" s="76" t="s">
        <v>215</v>
      </c>
      <c r="BA97" s="78" t="s">
        <v>206</v>
      </c>
      <c r="BB97" s="78" t="s">
        <v>206</v>
      </c>
      <c r="BC97" s="76">
        <v>167</v>
      </c>
      <c r="BD97" s="93">
        <v>24883</v>
      </c>
      <c r="BE97" s="76">
        <v>4000</v>
      </c>
      <c r="BF97" s="93">
        <v>100000</v>
      </c>
      <c r="BG97" s="92" t="s">
        <v>216</v>
      </c>
    </row>
    <row r="98" spans="1:59">
      <c r="A98" s="70">
        <v>101</v>
      </c>
      <c r="B98" s="248"/>
      <c r="C98" s="248"/>
      <c r="D98" s="248"/>
      <c r="E98" s="248"/>
      <c r="F98" s="248"/>
      <c r="G98" s="248"/>
      <c r="H98" s="248"/>
      <c r="I98" s="248"/>
      <c r="J98" s="248"/>
      <c r="K98" s="248"/>
      <c r="L98" s="74"/>
      <c r="M98" s="75">
        <v>97</v>
      </c>
      <c r="N98" s="72" t="s">
        <v>128</v>
      </c>
      <c r="O98" s="72" t="s">
        <v>615</v>
      </c>
      <c r="P98" s="72" t="s">
        <v>301</v>
      </c>
      <c r="Q98" s="72" t="s">
        <v>104</v>
      </c>
      <c r="R98" s="72" t="s">
        <v>613</v>
      </c>
      <c r="S98" s="72">
        <v>12</v>
      </c>
      <c r="T98" s="72">
        <v>1300</v>
      </c>
      <c r="U98" s="72">
        <v>6500</v>
      </c>
      <c r="V98" s="72">
        <v>15000</v>
      </c>
      <c r="W98" s="72" t="s">
        <v>204</v>
      </c>
      <c r="X98" s="74" t="s">
        <v>200</v>
      </c>
      <c r="Y98" s="72">
        <v>97</v>
      </c>
      <c r="Z98" s="248" t="s">
        <v>200</v>
      </c>
      <c r="AA98" s="248"/>
      <c r="AB98" s="248" t="s">
        <v>200</v>
      </c>
      <c r="AC98" s="248" t="s">
        <v>200</v>
      </c>
      <c r="AD98" s="248" t="s">
        <v>200</v>
      </c>
      <c r="AE98" s="248" t="s">
        <v>200</v>
      </c>
      <c r="AF98" s="248" t="s">
        <v>200</v>
      </c>
      <c r="AG98" s="248" t="s">
        <v>200</v>
      </c>
      <c r="AH98" s="248" t="s">
        <v>200</v>
      </c>
      <c r="AI98" s="248"/>
      <c r="AJ98" s="74" t="s">
        <v>200</v>
      </c>
      <c r="AK98" s="72">
        <v>100</v>
      </c>
      <c r="AL98" s="248" t="s">
        <v>200</v>
      </c>
      <c r="AM98" s="248"/>
      <c r="AN98" s="248" t="s">
        <v>200</v>
      </c>
      <c r="AO98" s="248" t="s">
        <v>200</v>
      </c>
      <c r="AP98" s="248" t="s">
        <v>200</v>
      </c>
      <c r="AQ98" s="248" t="s">
        <v>200</v>
      </c>
      <c r="AR98" s="248" t="s">
        <v>200</v>
      </c>
      <c r="AS98" s="248" t="s">
        <v>200</v>
      </c>
      <c r="AT98" s="248" t="s">
        <v>200</v>
      </c>
      <c r="AU98" s="248"/>
      <c r="AV98" s="74" t="s">
        <v>200</v>
      </c>
      <c r="AW98" s="75">
        <v>98</v>
      </c>
      <c r="AX98" s="76" t="s">
        <v>127</v>
      </c>
      <c r="AY98" s="76" t="s">
        <v>619</v>
      </c>
      <c r="AZ98" s="76" t="s">
        <v>215</v>
      </c>
      <c r="BA98" s="78" t="s">
        <v>206</v>
      </c>
      <c r="BB98" s="78" t="s">
        <v>206</v>
      </c>
      <c r="BC98" s="76">
        <v>56</v>
      </c>
      <c r="BD98" s="76">
        <v>8500</v>
      </c>
      <c r="BE98" s="76">
        <v>4000</v>
      </c>
      <c r="BF98" s="93">
        <v>100000</v>
      </c>
      <c r="BG98" s="92" t="s">
        <v>211</v>
      </c>
    </row>
    <row r="99" spans="1:59">
      <c r="A99" s="70">
        <v>102</v>
      </c>
      <c r="B99" s="248"/>
      <c r="C99" s="248"/>
      <c r="D99" s="248"/>
      <c r="E99" s="248"/>
      <c r="F99" s="248"/>
      <c r="G99" s="248"/>
      <c r="H99" s="248"/>
      <c r="I99" s="248"/>
      <c r="J99" s="248"/>
      <c r="K99" s="248"/>
      <c r="L99" s="74"/>
      <c r="M99" s="75">
        <v>98</v>
      </c>
      <c r="N99" s="72" t="s">
        <v>121</v>
      </c>
      <c r="O99" s="72" t="s">
        <v>617</v>
      </c>
      <c r="P99" s="72" t="s">
        <v>301</v>
      </c>
      <c r="Q99" s="72" t="s">
        <v>104</v>
      </c>
      <c r="R99" s="72" t="s">
        <v>618</v>
      </c>
      <c r="S99" s="72">
        <v>5</v>
      </c>
      <c r="T99" s="72">
        <v>360</v>
      </c>
      <c r="U99" s="72">
        <v>3000</v>
      </c>
      <c r="V99" s="72">
        <v>12000</v>
      </c>
      <c r="W99" s="72" t="s">
        <v>270</v>
      </c>
      <c r="X99" s="74" t="s">
        <v>200</v>
      </c>
      <c r="Y99" s="72">
        <v>98</v>
      </c>
      <c r="Z99" s="248" t="s">
        <v>200</v>
      </c>
      <c r="AA99" s="248"/>
      <c r="AB99" s="248" t="s">
        <v>200</v>
      </c>
      <c r="AC99" s="248" t="s">
        <v>200</v>
      </c>
      <c r="AD99" s="248" t="s">
        <v>200</v>
      </c>
      <c r="AE99" s="248" t="s">
        <v>200</v>
      </c>
      <c r="AF99" s="248" t="s">
        <v>200</v>
      </c>
      <c r="AG99" s="248" t="s">
        <v>200</v>
      </c>
      <c r="AH99" s="248" t="s">
        <v>200</v>
      </c>
      <c r="AI99" s="248"/>
      <c r="AJ99" s="74" t="s">
        <v>200</v>
      </c>
      <c r="AK99" s="72">
        <v>101</v>
      </c>
      <c r="AL99" s="248" t="s">
        <v>200</v>
      </c>
      <c r="AM99" s="248"/>
      <c r="AN99" s="248" t="s">
        <v>200</v>
      </c>
      <c r="AO99" s="248" t="s">
        <v>200</v>
      </c>
      <c r="AP99" s="248" t="s">
        <v>200</v>
      </c>
      <c r="AQ99" s="248" t="s">
        <v>200</v>
      </c>
      <c r="AR99" s="248" t="s">
        <v>200</v>
      </c>
      <c r="AS99" s="248" t="s">
        <v>200</v>
      </c>
      <c r="AT99" s="248" t="s">
        <v>200</v>
      </c>
      <c r="AU99" s="248"/>
      <c r="AV99" s="74" t="s">
        <v>200</v>
      </c>
      <c r="AW99" s="75">
        <v>99</v>
      </c>
      <c r="AX99" s="76" t="s">
        <v>127</v>
      </c>
      <c r="AY99" s="76" t="s">
        <v>622</v>
      </c>
      <c r="AZ99" s="76" t="s">
        <v>215</v>
      </c>
      <c r="BA99" s="78" t="s">
        <v>206</v>
      </c>
      <c r="BB99" s="78" t="s">
        <v>206</v>
      </c>
      <c r="BC99" s="76">
        <v>78</v>
      </c>
      <c r="BD99" s="76">
        <v>12000</v>
      </c>
      <c r="BE99" s="76">
        <v>4000</v>
      </c>
      <c r="BF99" s="93">
        <v>100000</v>
      </c>
      <c r="BG99" s="92" t="s">
        <v>211</v>
      </c>
    </row>
    <row r="100" spans="1:59">
      <c r="A100" s="70">
        <v>103</v>
      </c>
      <c r="B100" s="248"/>
      <c r="C100" s="248"/>
      <c r="D100" s="248"/>
      <c r="E100" s="248"/>
      <c r="F100" s="248"/>
      <c r="G100" s="248"/>
      <c r="H100" s="248"/>
      <c r="I100" s="248"/>
      <c r="J100" s="248"/>
      <c r="K100" s="248"/>
      <c r="L100" s="74"/>
      <c r="M100" s="75">
        <v>99</v>
      </c>
      <c r="N100" s="72" t="s">
        <v>121</v>
      </c>
      <c r="O100" s="72" t="s">
        <v>621</v>
      </c>
      <c r="P100" s="72" t="s">
        <v>301</v>
      </c>
      <c r="Q100" s="72" t="s">
        <v>104</v>
      </c>
      <c r="R100" s="72" t="s">
        <v>618</v>
      </c>
      <c r="S100" s="72">
        <v>5</v>
      </c>
      <c r="T100" s="72">
        <v>400</v>
      </c>
      <c r="U100" s="72">
        <v>6500</v>
      </c>
      <c r="V100" s="72">
        <v>12000</v>
      </c>
      <c r="W100" s="72" t="s">
        <v>270</v>
      </c>
      <c r="X100" s="74" t="s">
        <v>200</v>
      </c>
      <c r="Y100" s="72">
        <v>99</v>
      </c>
      <c r="Z100" s="248" t="s">
        <v>200</v>
      </c>
      <c r="AA100" s="248"/>
      <c r="AB100" s="248" t="s">
        <v>200</v>
      </c>
      <c r="AC100" s="248" t="s">
        <v>200</v>
      </c>
      <c r="AD100" s="248" t="s">
        <v>200</v>
      </c>
      <c r="AE100" s="248" t="s">
        <v>200</v>
      </c>
      <c r="AF100" s="248" t="s">
        <v>200</v>
      </c>
      <c r="AG100" s="248" t="s">
        <v>200</v>
      </c>
      <c r="AH100" s="248" t="s">
        <v>200</v>
      </c>
      <c r="AI100" s="248"/>
      <c r="AJ100" s="74" t="s">
        <v>200</v>
      </c>
      <c r="AK100" s="72">
        <v>102</v>
      </c>
      <c r="AL100" s="248" t="s">
        <v>200</v>
      </c>
      <c r="AM100" s="248"/>
      <c r="AN100" s="248" t="s">
        <v>200</v>
      </c>
      <c r="AO100" s="248" t="s">
        <v>200</v>
      </c>
      <c r="AP100" s="248" t="s">
        <v>200</v>
      </c>
      <c r="AQ100" s="248" t="s">
        <v>200</v>
      </c>
      <c r="AR100" s="248" t="s">
        <v>200</v>
      </c>
      <c r="AS100" s="248" t="s">
        <v>200</v>
      </c>
      <c r="AT100" s="248" t="s">
        <v>200</v>
      </c>
      <c r="AU100" s="248"/>
      <c r="AV100" s="74" t="s">
        <v>200</v>
      </c>
      <c r="AW100" s="75">
        <v>100</v>
      </c>
      <c r="AX100" s="76" t="s">
        <v>127</v>
      </c>
      <c r="AY100" s="76" t="s">
        <v>624</v>
      </c>
      <c r="AZ100" s="76" t="s">
        <v>215</v>
      </c>
      <c r="BA100" s="78" t="s">
        <v>206</v>
      </c>
      <c r="BB100" s="78" t="s">
        <v>206</v>
      </c>
      <c r="BC100" s="76">
        <v>86</v>
      </c>
      <c r="BD100" s="76">
        <v>13100</v>
      </c>
      <c r="BE100" s="76">
        <v>4000</v>
      </c>
      <c r="BF100" s="93">
        <v>100000</v>
      </c>
      <c r="BG100" s="92" t="s">
        <v>211</v>
      </c>
    </row>
    <row r="101" spans="1:59">
      <c r="A101" s="70">
        <v>104</v>
      </c>
      <c r="B101" s="248"/>
      <c r="C101" s="248"/>
      <c r="D101" s="248"/>
      <c r="E101" s="248"/>
      <c r="F101" s="248"/>
      <c r="G101" s="248"/>
      <c r="H101" s="248"/>
      <c r="I101" s="248"/>
      <c r="J101" s="248"/>
      <c r="K101" s="248"/>
      <c r="L101" s="74"/>
      <c r="M101" s="75">
        <v>100</v>
      </c>
      <c r="N101" s="72" t="s">
        <v>121</v>
      </c>
      <c r="O101" s="72" t="s">
        <v>623</v>
      </c>
      <c r="P101" s="72" t="s">
        <v>301</v>
      </c>
      <c r="Q101" s="72" t="s">
        <v>104</v>
      </c>
      <c r="R101" s="72" t="s">
        <v>618</v>
      </c>
      <c r="S101" s="72">
        <v>7</v>
      </c>
      <c r="T101" s="72">
        <v>500</v>
      </c>
      <c r="U101" s="72">
        <v>3000</v>
      </c>
      <c r="V101" s="72">
        <v>12000</v>
      </c>
      <c r="W101" s="72" t="s">
        <v>270</v>
      </c>
      <c r="X101" s="74" t="s">
        <v>200</v>
      </c>
      <c r="Y101" s="72">
        <v>100</v>
      </c>
      <c r="Z101" s="248" t="s">
        <v>200</v>
      </c>
      <c r="AA101" s="248"/>
      <c r="AB101" s="248" t="s">
        <v>200</v>
      </c>
      <c r="AC101" s="248" t="s">
        <v>200</v>
      </c>
      <c r="AD101" s="248" t="s">
        <v>200</v>
      </c>
      <c r="AE101" s="248" t="s">
        <v>200</v>
      </c>
      <c r="AF101" s="248" t="s">
        <v>200</v>
      </c>
      <c r="AG101" s="248" t="s">
        <v>200</v>
      </c>
      <c r="AH101" s="248" t="s">
        <v>200</v>
      </c>
      <c r="AI101" s="248"/>
      <c r="AJ101" s="74" t="s">
        <v>200</v>
      </c>
      <c r="AK101" s="72">
        <v>103</v>
      </c>
      <c r="AL101" s="248" t="s">
        <v>200</v>
      </c>
      <c r="AM101" s="248"/>
      <c r="AN101" s="248" t="s">
        <v>200</v>
      </c>
      <c r="AO101" s="248" t="s">
        <v>200</v>
      </c>
      <c r="AP101" s="248" t="s">
        <v>200</v>
      </c>
      <c r="AQ101" s="248" t="s">
        <v>200</v>
      </c>
      <c r="AR101" s="248" t="s">
        <v>200</v>
      </c>
      <c r="AS101" s="248" t="s">
        <v>200</v>
      </c>
      <c r="AT101" s="248" t="s">
        <v>200</v>
      </c>
      <c r="AU101" s="248"/>
      <c r="AV101" s="74" t="s">
        <v>200</v>
      </c>
      <c r="AW101" s="75">
        <v>101</v>
      </c>
      <c r="AX101" s="76" t="s">
        <v>127</v>
      </c>
      <c r="AY101" s="79" t="s">
        <v>626</v>
      </c>
      <c r="AZ101" s="76" t="s">
        <v>215</v>
      </c>
      <c r="BA101" s="78" t="s">
        <v>206</v>
      </c>
      <c r="BB101" s="78" t="s">
        <v>206</v>
      </c>
      <c r="BC101" s="76">
        <v>316</v>
      </c>
      <c r="BD101" s="76">
        <v>47000</v>
      </c>
      <c r="BE101" s="76">
        <v>4000</v>
      </c>
      <c r="BF101" s="93">
        <v>100000</v>
      </c>
      <c r="BG101" s="92" t="s">
        <v>211</v>
      </c>
    </row>
    <row r="102" spans="1:59">
      <c r="A102" s="70">
        <v>105</v>
      </c>
      <c r="B102" s="248"/>
      <c r="C102" s="248"/>
      <c r="D102" s="248"/>
      <c r="E102" s="248"/>
      <c r="F102" s="248"/>
      <c r="G102" s="248"/>
      <c r="H102" s="248"/>
      <c r="I102" s="248"/>
      <c r="J102" s="248"/>
      <c r="K102" s="248"/>
      <c r="L102" s="74"/>
      <c r="M102" s="75">
        <v>101</v>
      </c>
      <c r="N102" s="72" t="s">
        <v>121</v>
      </c>
      <c r="O102" s="72" t="s">
        <v>625</v>
      </c>
      <c r="P102" s="72" t="s">
        <v>301</v>
      </c>
      <c r="Q102" s="72" t="s">
        <v>104</v>
      </c>
      <c r="R102" s="72" t="s">
        <v>618</v>
      </c>
      <c r="S102" s="72">
        <v>7</v>
      </c>
      <c r="T102" s="72">
        <v>560</v>
      </c>
      <c r="U102" s="72">
        <v>6500</v>
      </c>
      <c r="V102" s="72">
        <v>12000</v>
      </c>
      <c r="W102" s="72" t="s">
        <v>270</v>
      </c>
      <c r="X102" s="74" t="s">
        <v>200</v>
      </c>
      <c r="Y102" s="72">
        <v>101</v>
      </c>
      <c r="Z102" s="248" t="s">
        <v>200</v>
      </c>
      <c r="AA102" s="248"/>
      <c r="AB102" s="248" t="s">
        <v>200</v>
      </c>
      <c r="AC102" s="248" t="s">
        <v>200</v>
      </c>
      <c r="AD102" s="248" t="s">
        <v>200</v>
      </c>
      <c r="AE102" s="248" t="s">
        <v>200</v>
      </c>
      <c r="AF102" s="248" t="s">
        <v>200</v>
      </c>
      <c r="AG102" s="248" t="s">
        <v>200</v>
      </c>
      <c r="AH102" s="248" t="s">
        <v>200</v>
      </c>
      <c r="AI102" s="248"/>
      <c r="AJ102" s="74" t="s">
        <v>200</v>
      </c>
      <c r="AK102" s="72">
        <v>104</v>
      </c>
      <c r="AL102" s="248" t="s">
        <v>200</v>
      </c>
      <c r="AM102" s="248"/>
      <c r="AN102" s="248" t="s">
        <v>200</v>
      </c>
      <c r="AO102" s="248" t="s">
        <v>200</v>
      </c>
      <c r="AP102" s="248" t="s">
        <v>200</v>
      </c>
      <c r="AQ102" s="248" t="s">
        <v>200</v>
      </c>
      <c r="AR102" s="248" t="s">
        <v>200</v>
      </c>
      <c r="AS102" s="248" t="s">
        <v>200</v>
      </c>
      <c r="AT102" s="248" t="s">
        <v>200</v>
      </c>
      <c r="AU102" s="248"/>
      <c r="AV102" s="74" t="s">
        <v>200</v>
      </c>
      <c r="AW102" s="75">
        <v>102</v>
      </c>
      <c r="AX102" s="76" t="s">
        <v>127</v>
      </c>
      <c r="AY102" s="76" t="s">
        <v>629</v>
      </c>
      <c r="AZ102" s="76" t="s">
        <v>215</v>
      </c>
      <c r="BA102" s="78" t="s">
        <v>206</v>
      </c>
      <c r="BB102" s="78" t="s">
        <v>206</v>
      </c>
      <c r="BC102" s="76">
        <v>172</v>
      </c>
      <c r="BD102" s="76">
        <v>26200</v>
      </c>
      <c r="BE102" s="76">
        <v>4000</v>
      </c>
      <c r="BF102" s="93">
        <v>100000</v>
      </c>
      <c r="BG102" s="92" t="s">
        <v>211</v>
      </c>
    </row>
    <row r="103" spans="1:59">
      <c r="A103" s="70">
        <v>106</v>
      </c>
      <c r="B103" s="248"/>
      <c r="C103" s="248"/>
      <c r="D103" s="248"/>
      <c r="E103" s="248"/>
      <c r="F103" s="248"/>
      <c r="G103" s="248"/>
      <c r="H103" s="248"/>
      <c r="I103" s="248"/>
      <c r="J103" s="248"/>
      <c r="K103" s="248"/>
      <c r="L103" s="74"/>
      <c r="M103" s="75">
        <v>102</v>
      </c>
      <c r="N103" s="72" t="s">
        <v>121</v>
      </c>
      <c r="O103" s="72" t="s">
        <v>627</v>
      </c>
      <c r="P103" s="72" t="s">
        <v>301</v>
      </c>
      <c r="Q103" s="72" t="s">
        <v>104</v>
      </c>
      <c r="R103" s="72" t="s">
        <v>628</v>
      </c>
      <c r="S103" s="72">
        <v>9</v>
      </c>
      <c r="T103" s="72">
        <v>650</v>
      </c>
      <c r="U103" s="72">
        <v>3000</v>
      </c>
      <c r="V103" s="72">
        <v>12000</v>
      </c>
      <c r="W103" s="72" t="s">
        <v>270</v>
      </c>
      <c r="X103" s="74" t="s">
        <v>200</v>
      </c>
      <c r="Y103" s="72">
        <v>102</v>
      </c>
      <c r="Z103" s="248" t="s">
        <v>200</v>
      </c>
      <c r="AA103" s="248"/>
      <c r="AB103" s="248" t="s">
        <v>200</v>
      </c>
      <c r="AC103" s="248" t="s">
        <v>200</v>
      </c>
      <c r="AD103" s="248" t="s">
        <v>200</v>
      </c>
      <c r="AE103" s="248" t="s">
        <v>200</v>
      </c>
      <c r="AF103" s="248" t="s">
        <v>200</v>
      </c>
      <c r="AG103" s="248" t="s">
        <v>200</v>
      </c>
      <c r="AH103" s="248" t="s">
        <v>200</v>
      </c>
      <c r="AI103" s="248"/>
      <c r="AJ103" s="74" t="s">
        <v>200</v>
      </c>
      <c r="AK103" s="72">
        <v>105</v>
      </c>
      <c r="AL103" s="248" t="s">
        <v>200</v>
      </c>
      <c r="AM103" s="248"/>
      <c r="AN103" s="248" t="s">
        <v>200</v>
      </c>
      <c r="AO103" s="248" t="s">
        <v>200</v>
      </c>
      <c r="AP103" s="248" t="s">
        <v>200</v>
      </c>
      <c r="AQ103" s="248" t="s">
        <v>200</v>
      </c>
      <c r="AR103" s="248" t="s">
        <v>200</v>
      </c>
      <c r="AS103" s="248" t="s">
        <v>200</v>
      </c>
      <c r="AT103" s="248" t="s">
        <v>200</v>
      </c>
      <c r="AU103" s="248"/>
      <c r="AV103" s="74" t="s">
        <v>200</v>
      </c>
      <c r="AW103" s="75">
        <v>103</v>
      </c>
      <c r="AX103" s="76" t="s">
        <v>127</v>
      </c>
      <c r="AY103" s="76" t="s">
        <v>631</v>
      </c>
      <c r="AZ103" s="76" t="s">
        <v>632</v>
      </c>
      <c r="BA103" s="78" t="s">
        <v>206</v>
      </c>
      <c r="BB103" s="78" t="s">
        <v>206</v>
      </c>
      <c r="BC103" s="76">
        <v>27</v>
      </c>
      <c r="BD103" s="76">
        <v>4604</v>
      </c>
      <c r="BE103" s="76">
        <v>4000</v>
      </c>
      <c r="BF103" s="93">
        <v>100000</v>
      </c>
      <c r="BG103" s="92" t="s">
        <v>211</v>
      </c>
    </row>
    <row r="104" spans="1:59">
      <c r="A104" s="70">
        <v>107</v>
      </c>
      <c r="B104" s="250"/>
      <c r="C104" s="248"/>
      <c r="D104" s="248"/>
      <c r="E104" s="250"/>
      <c r="F104" s="250"/>
      <c r="G104" s="250"/>
      <c r="H104" s="250"/>
      <c r="I104" s="250"/>
      <c r="J104" s="250"/>
      <c r="K104" s="248"/>
      <c r="L104" s="74"/>
      <c r="M104" s="75">
        <v>103</v>
      </c>
      <c r="N104" s="72" t="s">
        <v>121</v>
      </c>
      <c r="O104" s="72" t="s">
        <v>630</v>
      </c>
      <c r="P104" s="72" t="s">
        <v>301</v>
      </c>
      <c r="Q104" s="72" t="s">
        <v>104</v>
      </c>
      <c r="R104" s="72" t="s">
        <v>628</v>
      </c>
      <c r="S104" s="72">
        <v>9</v>
      </c>
      <c r="T104" s="72">
        <v>720</v>
      </c>
      <c r="U104" s="72">
        <v>6500</v>
      </c>
      <c r="V104" s="72">
        <v>12000</v>
      </c>
      <c r="W104" s="72" t="s">
        <v>270</v>
      </c>
      <c r="X104" s="74" t="s">
        <v>200</v>
      </c>
      <c r="Y104" s="72">
        <v>103</v>
      </c>
      <c r="Z104" s="248" t="s">
        <v>200</v>
      </c>
      <c r="AA104" s="248"/>
      <c r="AB104" s="248" t="s">
        <v>200</v>
      </c>
      <c r="AC104" s="248" t="s">
        <v>200</v>
      </c>
      <c r="AD104" s="248" t="s">
        <v>200</v>
      </c>
      <c r="AE104" s="248" t="s">
        <v>200</v>
      </c>
      <c r="AF104" s="248" t="s">
        <v>200</v>
      </c>
      <c r="AG104" s="248" t="s">
        <v>200</v>
      </c>
      <c r="AH104" s="248" t="s">
        <v>200</v>
      </c>
      <c r="AI104" s="248"/>
      <c r="AJ104" s="74" t="s">
        <v>200</v>
      </c>
      <c r="AK104" s="72">
        <v>106</v>
      </c>
      <c r="AL104" s="248" t="s">
        <v>200</v>
      </c>
      <c r="AM104" s="248"/>
      <c r="AN104" s="248" t="s">
        <v>200</v>
      </c>
      <c r="AO104" s="248" t="s">
        <v>200</v>
      </c>
      <c r="AP104" s="248" t="s">
        <v>200</v>
      </c>
      <c r="AQ104" s="248" t="s">
        <v>200</v>
      </c>
      <c r="AR104" s="248" t="s">
        <v>200</v>
      </c>
      <c r="AS104" s="248" t="s">
        <v>200</v>
      </c>
      <c r="AT104" s="248" t="s">
        <v>200</v>
      </c>
      <c r="AU104" s="248"/>
      <c r="AV104" s="74" t="s">
        <v>200</v>
      </c>
      <c r="AW104" s="75">
        <v>104</v>
      </c>
      <c r="AX104" s="76" t="s">
        <v>127</v>
      </c>
      <c r="AY104" s="76" t="s">
        <v>635</v>
      </c>
      <c r="AZ104" s="76" t="s">
        <v>632</v>
      </c>
      <c r="BA104" s="78" t="s">
        <v>206</v>
      </c>
      <c r="BB104" s="78" t="s">
        <v>206</v>
      </c>
      <c r="BC104" s="76">
        <v>52</v>
      </c>
      <c r="BD104" s="76">
        <v>8866</v>
      </c>
      <c r="BE104" s="76">
        <v>4000</v>
      </c>
      <c r="BF104" s="93">
        <v>100000</v>
      </c>
      <c r="BG104" s="92" t="s">
        <v>211</v>
      </c>
    </row>
    <row r="105" spans="1:59">
      <c r="A105" s="70">
        <v>108</v>
      </c>
      <c r="B105" s="250"/>
      <c r="C105" s="248"/>
      <c r="D105" s="248"/>
      <c r="E105" s="250"/>
      <c r="F105" s="250"/>
      <c r="G105" s="250"/>
      <c r="H105" s="250"/>
      <c r="I105" s="250"/>
      <c r="J105" s="250"/>
      <c r="K105" s="248"/>
      <c r="L105" s="74"/>
      <c r="M105" s="75">
        <v>104</v>
      </c>
      <c r="N105" s="72" t="s">
        <v>121</v>
      </c>
      <c r="O105" s="72" t="s">
        <v>633</v>
      </c>
      <c r="P105" s="72" t="s">
        <v>301</v>
      </c>
      <c r="Q105" s="72" t="s">
        <v>104</v>
      </c>
      <c r="R105" s="72" t="s">
        <v>634</v>
      </c>
      <c r="S105" s="72">
        <v>12</v>
      </c>
      <c r="T105" s="72">
        <v>860</v>
      </c>
      <c r="U105" s="72">
        <v>3000</v>
      </c>
      <c r="V105" s="72">
        <v>12000</v>
      </c>
      <c r="W105" s="72" t="s">
        <v>270</v>
      </c>
      <c r="X105" s="74" t="s">
        <v>200</v>
      </c>
      <c r="Y105" s="72">
        <v>104</v>
      </c>
      <c r="Z105" s="248" t="s">
        <v>200</v>
      </c>
      <c r="AA105" s="248"/>
      <c r="AB105" s="248" t="s">
        <v>200</v>
      </c>
      <c r="AC105" s="248" t="s">
        <v>200</v>
      </c>
      <c r="AD105" s="248" t="s">
        <v>200</v>
      </c>
      <c r="AE105" s="248" t="s">
        <v>200</v>
      </c>
      <c r="AF105" s="248" t="s">
        <v>200</v>
      </c>
      <c r="AG105" s="248" t="s">
        <v>200</v>
      </c>
      <c r="AH105" s="248" t="s">
        <v>200</v>
      </c>
      <c r="AI105" s="248"/>
      <c r="AJ105" s="74" t="s">
        <v>200</v>
      </c>
      <c r="AK105" s="72">
        <v>107</v>
      </c>
      <c r="AL105" s="248" t="s">
        <v>200</v>
      </c>
      <c r="AM105" s="248"/>
      <c r="AN105" s="248" t="s">
        <v>200</v>
      </c>
      <c r="AO105" s="248" t="s">
        <v>200</v>
      </c>
      <c r="AP105" s="248" t="s">
        <v>200</v>
      </c>
      <c r="AQ105" s="248" t="s">
        <v>200</v>
      </c>
      <c r="AR105" s="248" t="s">
        <v>200</v>
      </c>
      <c r="AS105" s="248" t="s">
        <v>200</v>
      </c>
      <c r="AT105" s="248" t="s">
        <v>200</v>
      </c>
      <c r="AU105" s="248"/>
      <c r="AV105" s="74" t="s">
        <v>200</v>
      </c>
      <c r="AW105" s="75">
        <v>105</v>
      </c>
      <c r="AX105" s="76" t="s">
        <v>127</v>
      </c>
      <c r="AY105" s="76" t="s">
        <v>637</v>
      </c>
      <c r="AZ105" s="76" t="s">
        <v>632</v>
      </c>
      <c r="BA105" s="78" t="s">
        <v>206</v>
      </c>
      <c r="BB105" s="78" t="s">
        <v>206</v>
      </c>
      <c r="BC105" s="76">
        <v>78</v>
      </c>
      <c r="BD105" s="76">
        <v>13299</v>
      </c>
      <c r="BE105" s="76">
        <v>4000</v>
      </c>
      <c r="BF105" s="93">
        <v>100000</v>
      </c>
      <c r="BG105" s="92" t="s">
        <v>211</v>
      </c>
    </row>
    <row r="106" spans="1:59">
      <c r="A106" s="70">
        <v>109</v>
      </c>
      <c r="B106" s="250"/>
      <c r="C106" s="248"/>
      <c r="D106" s="248"/>
      <c r="E106" s="250"/>
      <c r="F106" s="250"/>
      <c r="G106" s="250"/>
      <c r="H106" s="250"/>
      <c r="I106" s="250"/>
      <c r="J106" s="250"/>
      <c r="K106" s="248"/>
      <c r="L106" s="74"/>
      <c r="M106" s="75">
        <v>105</v>
      </c>
      <c r="N106" s="72" t="s">
        <v>121</v>
      </c>
      <c r="O106" s="72" t="s">
        <v>636</v>
      </c>
      <c r="P106" s="72" t="s">
        <v>301</v>
      </c>
      <c r="Q106" s="72" t="s">
        <v>104</v>
      </c>
      <c r="R106" s="72" t="s">
        <v>634</v>
      </c>
      <c r="S106" s="72">
        <v>12</v>
      </c>
      <c r="T106" s="72">
        <v>960</v>
      </c>
      <c r="U106" s="72">
        <v>6500</v>
      </c>
      <c r="V106" s="72">
        <v>12000</v>
      </c>
      <c r="W106" s="72" t="s">
        <v>270</v>
      </c>
      <c r="X106" s="74" t="s">
        <v>200</v>
      </c>
      <c r="Y106" s="72">
        <v>105</v>
      </c>
      <c r="Z106" s="248" t="s">
        <v>200</v>
      </c>
      <c r="AA106" s="248"/>
      <c r="AB106" s="248" t="s">
        <v>200</v>
      </c>
      <c r="AC106" s="248" t="s">
        <v>200</v>
      </c>
      <c r="AD106" s="248" t="s">
        <v>200</v>
      </c>
      <c r="AE106" s="248" t="s">
        <v>200</v>
      </c>
      <c r="AF106" s="248" t="s">
        <v>200</v>
      </c>
      <c r="AG106" s="248" t="s">
        <v>200</v>
      </c>
      <c r="AH106" s="248" t="s">
        <v>200</v>
      </c>
      <c r="AI106" s="248"/>
      <c r="AJ106" s="74" t="s">
        <v>200</v>
      </c>
      <c r="AK106" s="72">
        <v>108</v>
      </c>
      <c r="AL106" s="248" t="s">
        <v>200</v>
      </c>
      <c r="AM106" s="248"/>
      <c r="AN106" s="248" t="s">
        <v>200</v>
      </c>
      <c r="AO106" s="248" t="s">
        <v>200</v>
      </c>
      <c r="AP106" s="248" t="s">
        <v>200</v>
      </c>
      <c r="AQ106" s="248" t="s">
        <v>200</v>
      </c>
      <c r="AR106" s="248" t="s">
        <v>200</v>
      </c>
      <c r="AS106" s="248" t="s">
        <v>200</v>
      </c>
      <c r="AT106" s="248" t="s">
        <v>200</v>
      </c>
      <c r="AU106" s="248"/>
      <c r="AV106" s="74" t="s">
        <v>200</v>
      </c>
      <c r="AW106" s="75">
        <v>106</v>
      </c>
      <c r="AX106" s="76" t="s">
        <v>127</v>
      </c>
      <c r="AY106" s="76" t="s">
        <v>640</v>
      </c>
      <c r="AZ106" s="76" t="s">
        <v>632</v>
      </c>
      <c r="BA106" s="78" t="s">
        <v>206</v>
      </c>
      <c r="BB106" s="78" t="s">
        <v>206</v>
      </c>
      <c r="BC106" s="76">
        <v>102</v>
      </c>
      <c r="BD106" s="76">
        <v>17391</v>
      </c>
      <c r="BE106" s="76">
        <v>4000</v>
      </c>
      <c r="BF106" s="93">
        <v>100000</v>
      </c>
      <c r="BG106" s="92" t="s">
        <v>211</v>
      </c>
    </row>
    <row r="107" spans="1:59">
      <c r="A107" s="70">
        <v>110</v>
      </c>
      <c r="B107" s="250"/>
      <c r="C107" s="248"/>
      <c r="D107" s="248"/>
      <c r="E107" s="250"/>
      <c r="F107" s="250"/>
      <c r="G107" s="250"/>
      <c r="H107" s="250"/>
      <c r="I107" s="250"/>
      <c r="J107" s="250"/>
      <c r="K107" s="248"/>
      <c r="L107" s="74"/>
      <c r="M107" s="75">
        <v>106</v>
      </c>
      <c r="N107" s="72" t="s">
        <v>121</v>
      </c>
      <c r="O107" s="72" t="s">
        <v>638</v>
      </c>
      <c r="P107" s="72" t="s">
        <v>301</v>
      </c>
      <c r="Q107" s="72" t="s">
        <v>104</v>
      </c>
      <c r="R107" s="72" t="s">
        <v>639</v>
      </c>
      <c r="S107" s="72">
        <v>14</v>
      </c>
      <c r="T107" s="72">
        <v>1080</v>
      </c>
      <c r="U107" s="72">
        <v>3000</v>
      </c>
      <c r="V107" s="72">
        <v>12000</v>
      </c>
      <c r="W107" s="72" t="s">
        <v>270</v>
      </c>
      <c r="X107" s="74" t="s">
        <v>200</v>
      </c>
      <c r="Y107" s="72">
        <v>106</v>
      </c>
      <c r="Z107" s="248" t="s">
        <v>200</v>
      </c>
      <c r="AA107" s="248"/>
      <c r="AB107" s="248" t="s">
        <v>200</v>
      </c>
      <c r="AC107" s="248" t="s">
        <v>200</v>
      </c>
      <c r="AD107" s="248" t="s">
        <v>200</v>
      </c>
      <c r="AE107" s="248" t="s">
        <v>200</v>
      </c>
      <c r="AF107" s="248" t="s">
        <v>200</v>
      </c>
      <c r="AG107" s="248" t="s">
        <v>200</v>
      </c>
      <c r="AH107" s="248" t="s">
        <v>200</v>
      </c>
      <c r="AI107" s="248"/>
      <c r="AJ107" s="74" t="s">
        <v>200</v>
      </c>
      <c r="AK107" s="72">
        <v>109</v>
      </c>
      <c r="AL107" s="248" t="s">
        <v>200</v>
      </c>
      <c r="AM107" s="248"/>
      <c r="AN107" s="248" t="s">
        <v>200</v>
      </c>
      <c r="AO107" s="248" t="s">
        <v>200</v>
      </c>
      <c r="AP107" s="248" t="s">
        <v>200</v>
      </c>
      <c r="AQ107" s="248" t="s">
        <v>200</v>
      </c>
      <c r="AR107" s="248" t="s">
        <v>200</v>
      </c>
      <c r="AS107" s="248" t="s">
        <v>200</v>
      </c>
      <c r="AT107" s="248" t="s">
        <v>200</v>
      </c>
      <c r="AU107" s="248"/>
      <c r="AV107" s="74" t="s">
        <v>200</v>
      </c>
      <c r="AW107" s="75">
        <v>107</v>
      </c>
      <c r="AX107" s="76" t="s">
        <v>127</v>
      </c>
      <c r="AY107" s="76" t="s">
        <v>642</v>
      </c>
      <c r="AZ107" s="76" t="s">
        <v>632</v>
      </c>
      <c r="BA107" s="78" t="s">
        <v>206</v>
      </c>
      <c r="BB107" s="78" t="s">
        <v>206</v>
      </c>
      <c r="BC107" s="76">
        <v>127</v>
      </c>
      <c r="BD107" s="76">
        <v>21654</v>
      </c>
      <c r="BE107" s="76">
        <v>4000</v>
      </c>
      <c r="BF107" s="93">
        <v>100000</v>
      </c>
      <c r="BG107" s="92" t="s">
        <v>211</v>
      </c>
    </row>
    <row r="108" spans="1:59">
      <c r="A108" s="70">
        <v>111</v>
      </c>
      <c r="B108" s="250"/>
      <c r="C108" s="248"/>
      <c r="D108" s="248"/>
      <c r="E108" s="250"/>
      <c r="F108" s="250"/>
      <c r="G108" s="250"/>
      <c r="H108" s="250"/>
      <c r="I108" s="250"/>
      <c r="J108" s="250"/>
      <c r="K108" s="248"/>
      <c r="L108" s="74"/>
      <c r="M108" s="75">
        <v>107</v>
      </c>
      <c r="N108" s="72" t="s">
        <v>121</v>
      </c>
      <c r="O108" s="72" t="s">
        <v>641</v>
      </c>
      <c r="P108" s="72" t="s">
        <v>301</v>
      </c>
      <c r="Q108" s="72" t="s">
        <v>104</v>
      </c>
      <c r="R108" s="72" t="s">
        <v>639</v>
      </c>
      <c r="S108" s="72">
        <v>14</v>
      </c>
      <c r="T108" s="72">
        <v>1200</v>
      </c>
      <c r="U108" s="72">
        <v>6500</v>
      </c>
      <c r="V108" s="72">
        <v>12000</v>
      </c>
      <c r="W108" s="72" t="s">
        <v>270</v>
      </c>
      <c r="X108" s="74" t="s">
        <v>200</v>
      </c>
      <c r="Y108" s="72">
        <v>107</v>
      </c>
      <c r="Z108" s="248" t="s">
        <v>200</v>
      </c>
      <c r="AA108" s="248"/>
      <c r="AB108" s="248" t="s">
        <v>200</v>
      </c>
      <c r="AC108" s="248" t="s">
        <v>200</v>
      </c>
      <c r="AD108" s="248" t="s">
        <v>200</v>
      </c>
      <c r="AE108" s="248" t="s">
        <v>200</v>
      </c>
      <c r="AF108" s="248" t="s">
        <v>200</v>
      </c>
      <c r="AG108" s="248" t="s">
        <v>200</v>
      </c>
      <c r="AH108" s="248" t="s">
        <v>200</v>
      </c>
      <c r="AI108" s="248"/>
      <c r="AJ108" s="74" t="s">
        <v>200</v>
      </c>
      <c r="AK108" s="72">
        <v>110</v>
      </c>
      <c r="AL108" s="248" t="s">
        <v>200</v>
      </c>
      <c r="AM108" s="248"/>
      <c r="AN108" s="248" t="s">
        <v>200</v>
      </c>
      <c r="AO108" s="248" t="s">
        <v>200</v>
      </c>
      <c r="AP108" s="248" t="s">
        <v>200</v>
      </c>
      <c r="AQ108" s="248" t="s">
        <v>200</v>
      </c>
      <c r="AR108" s="248" t="s">
        <v>200</v>
      </c>
      <c r="AS108" s="248" t="s">
        <v>200</v>
      </c>
      <c r="AT108" s="248" t="s">
        <v>200</v>
      </c>
      <c r="AU108" s="248"/>
      <c r="AV108" s="74" t="s">
        <v>200</v>
      </c>
      <c r="AW108" s="75">
        <v>108</v>
      </c>
      <c r="AX108" s="76" t="s">
        <v>127</v>
      </c>
      <c r="AY108" s="76" t="s">
        <v>645</v>
      </c>
      <c r="AZ108" s="76" t="s">
        <v>632</v>
      </c>
      <c r="BA108" s="78" t="s">
        <v>206</v>
      </c>
      <c r="BB108" s="78" t="s">
        <v>206</v>
      </c>
      <c r="BC108" s="76">
        <v>136</v>
      </c>
      <c r="BD108" s="76">
        <v>22168</v>
      </c>
      <c r="BE108" s="76">
        <v>4000</v>
      </c>
      <c r="BF108" s="93">
        <v>100000</v>
      </c>
      <c r="BG108" s="92" t="s">
        <v>211</v>
      </c>
    </row>
    <row r="109" spans="1:59">
      <c r="A109"/>
      <c r="B109"/>
      <c r="C109"/>
      <c r="D109"/>
      <c r="E109"/>
      <c r="F109"/>
      <c r="G109"/>
      <c r="H109"/>
      <c r="I109"/>
      <c r="J109"/>
      <c r="K109"/>
      <c r="L109" s="74"/>
      <c r="M109" s="75">
        <v>108</v>
      </c>
      <c r="N109" s="72" t="s">
        <v>121</v>
      </c>
      <c r="O109" s="72" t="s">
        <v>643</v>
      </c>
      <c r="P109" s="72" t="s">
        <v>301</v>
      </c>
      <c r="Q109" s="72" t="s">
        <v>104</v>
      </c>
      <c r="R109" s="72" t="s">
        <v>644</v>
      </c>
      <c r="S109" s="72">
        <v>7</v>
      </c>
      <c r="T109" s="72">
        <v>600</v>
      </c>
      <c r="U109" s="72">
        <v>3000</v>
      </c>
      <c r="V109" s="72">
        <v>15000</v>
      </c>
      <c r="W109" s="72" t="s">
        <v>204</v>
      </c>
      <c r="X109" s="74" t="s">
        <v>200</v>
      </c>
      <c r="Y109" s="72">
        <v>108</v>
      </c>
      <c r="Z109" s="248" t="s">
        <v>200</v>
      </c>
      <c r="AA109" s="248"/>
      <c r="AB109" s="248" t="s">
        <v>200</v>
      </c>
      <c r="AC109" s="248" t="s">
        <v>200</v>
      </c>
      <c r="AD109" s="248" t="s">
        <v>200</v>
      </c>
      <c r="AE109" s="248" t="s">
        <v>200</v>
      </c>
      <c r="AF109" s="248" t="s">
        <v>200</v>
      </c>
      <c r="AG109" s="248" t="s">
        <v>200</v>
      </c>
      <c r="AH109" s="248" t="s">
        <v>200</v>
      </c>
      <c r="AI109" s="248"/>
      <c r="AJ109" s="74" t="s">
        <v>200</v>
      </c>
      <c r="AK109" s="72">
        <v>111</v>
      </c>
      <c r="AL109" s="248" t="s">
        <v>200</v>
      </c>
      <c r="AM109" s="248"/>
      <c r="AN109" s="248" t="s">
        <v>200</v>
      </c>
      <c r="AO109" s="248" t="s">
        <v>200</v>
      </c>
      <c r="AP109" s="248" t="s">
        <v>200</v>
      </c>
      <c r="AQ109" s="248" t="s">
        <v>200</v>
      </c>
      <c r="AR109" s="248" t="s">
        <v>200</v>
      </c>
      <c r="AS109" s="248" t="s">
        <v>200</v>
      </c>
      <c r="AT109" s="248" t="s">
        <v>200</v>
      </c>
      <c r="AU109" s="248"/>
      <c r="AV109" s="74" t="s">
        <v>200</v>
      </c>
      <c r="AW109" s="75">
        <v>109</v>
      </c>
      <c r="AX109" s="76" t="s">
        <v>127</v>
      </c>
      <c r="AY109" s="76" t="s">
        <v>647</v>
      </c>
      <c r="AZ109" s="76" t="s">
        <v>632</v>
      </c>
      <c r="BA109" s="78" t="s">
        <v>206</v>
      </c>
      <c r="BB109" s="78" t="s">
        <v>206</v>
      </c>
      <c r="BC109" s="76">
        <v>171</v>
      </c>
      <c r="BD109" s="76">
        <v>27873</v>
      </c>
      <c r="BE109" s="76">
        <v>4000</v>
      </c>
      <c r="BF109" s="93">
        <v>100000</v>
      </c>
      <c r="BG109" s="92" t="s">
        <v>211</v>
      </c>
    </row>
    <row r="110" spans="1:59">
      <c r="A110"/>
      <c r="B110"/>
      <c r="C110"/>
      <c r="D110"/>
      <c r="E110"/>
      <c r="F110"/>
      <c r="G110"/>
      <c r="H110"/>
      <c r="I110"/>
      <c r="J110"/>
      <c r="K110"/>
      <c r="L110" s="74"/>
      <c r="M110" s="75">
        <v>109</v>
      </c>
      <c r="N110" s="72" t="s">
        <v>121</v>
      </c>
      <c r="O110" s="72" t="s">
        <v>646</v>
      </c>
      <c r="P110" s="72" t="s">
        <v>301</v>
      </c>
      <c r="Q110" s="72" t="s">
        <v>104</v>
      </c>
      <c r="R110" s="72" t="s">
        <v>644</v>
      </c>
      <c r="S110" s="72">
        <v>7</v>
      </c>
      <c r="T110" s="72">
        <v>600</v>
      </c>
      <c r="U110" s="72">
        <v>4000</v>
      </c>
      <c r="V110" s="72">
        <v>15000</v>
      </c>
      <c r="W110" s="72" t="s">
        <v>204</v>
      </c>
      <c r="X110" s="74" t="s">
        <v>200</v>
      </c>
      <c r="Y110" s="72">
        <v>109</v>
      </c>
      <c r="Z110" s="248" t="s">
        <v>200</v>
      </c>
      <c r="AA110" s="248"/>
      <c r="AB110" s="248" t="s">
        <v>200</v>
      </c>
      <c r="AC110" s="248" t="s">
        <v>200</v>
      </c>
      <c r="AD110" s="248" t="s">
        <v>200</v>
      </c>
      <c r="AE110" s="248" t="s">
        <v>200</v>
      </c>
      <c r="AF110" s="248" t="s">
        <v>200</v>
      </c>
      <c r="AG110" s="248" t="s">
        <v>200</v>
      </c>
      <c r="AH110" s="248" t="s">
        <v>200</v>
      </c>
      <c r="AI110" s="248"/>
      <c r="AJ110" s="74" t="s">
        <v>200</v>
      </c>
      <c r="AK110" s="72">
        <v>112</v>
      </c>
      <c r="AL110" s="248" t="s">
        <v>200</v>
      </c>
      <c r="AM110" s="248"/>
      <c r="AN110" s="248" t="s">
        <v>200</v>
      </c>
      <c r="AO110" s="248" t="s">
        <v>200</v>
      </c>
      <c r="AP110" s="248" t="s">
        <v>200</v>
      </c>
      <c r="AQ110" s="248" t="s">
        <v>200</v>
      </c>
      <c r="AR110" s="248" t="s">
        <v>200</v>
      </c>
      <c r="AS110" s="248" t="s">
        <v>200</v>
      </c>
      <c r="AT110" s="248" t="s">
        <v>200</v>
      </c>
      <c r="AU110" s="248"/>
      <c r="AV110" s="74" t="s">
        <v>200</v>
      </c>
      <c r="AW110" s="75">
        <v>110</v>
      </c>
      <c r="AX110" s="76" t="s">
        <v>127</v>
      </c>
      <c r="AY110" s="76" t="s">
        <v>649</v>
      </c>
      <c r="AZ110" s="76" t="s">
        <v>632</v>
      </c>
      <c r="BA110" s="78" t="s">
        <v>206</v>
      </c>
      <c r="BB110" s="78" t="s">
        <v>206</v>
      </c>
      <c r="BC110" s="76">
        <v>208</v>
      </c>
      <c r="BD110" s="76">
        <v>33904</v>
      </c>
      <c r="BE110" s="76">
        <v>4000</v>
      </c>
      <c r="BF110" s="76">
        <v>100000</v>
      </c>
      <c r="BG110" s="76" t="s">
        <v>211</v>
      </c>
    </row>
    <row r="111" spans="1:59">
      <c r="A111"/>
      <c r="B111"/>
      <c r="C111"/>
      <c r="D111"/>
      <c r="E111"/>
      <c r="F111"/>
      <c r="G111"/>
      <c r="H111"/>
      <c r="I111"/>
      <c r="J111"/>
      <c r="K111"/>
      <c r="L111" s="74"/>
      <c r="M111" s="75">
        <v>110</v>
      </c>
      <c r="N111" s="72" t="s">
        <v>121</v>
      </c>
      <c r="O111" s="72" t="s">
        <v>648</v>
      </c>
      <c r="P111" s="72" t="s">
        <v>301</v>
      </c>
      <c r="Q111" s="72" t="s">
        <v>104</v>
      </c>
      <c r="R111" s="72" t="s">
        <v>644</v>
      </c>
      <c r="S111" s="72">
        <v>7</v>
      </c>
      <c r="T111" s="72">
        <v>600</v>
      </c>
      <c r="U111" s="72">
        <v>6500</v>
      </c>
      <c r="V111" s="72">
        <v>15000</v>
      </c>
      <c r="W111" s="72" t="s">
        <v>204</v>
      </c>
      <c r="X111" s="74" t="s">
        <v>200</v>
      </c>
      <c r="Y111" s="72">
        <v>110</v>
      </c>
      <c r="Z111" s="248" t="s">
        <v>200</v>
      </c>
      <c r="AA111" s="248"/>
      <c r="AB111" s="248" t="s">
        <v>200</v>
      </c>
      <c r="AC111" s="248" t="s">
        <v>200</v>
      </c>
      <c r="AD111" s="248" t="s">
        <v>200</v>
      </c>
      <c r="AE111" s="248" t="s">
        <v>200</v>
      </c>
      <c r="AF111" s="248" t="s">
        <v>200</v>
      </c>
      <c r="AG111" s="248" t="s">
        <v>200</v>
      </c>
      <c r="AH111" s="248" t="s">
        <v>200</v>
      </c>
      <c r="AI111" s="248"/>
      <c r="AJ111" s="74" t="s">
        <v>200</v>
      </c>
      <c r="AK111" s="72">
        <v>113</v>
      </c>
      <c r="AL111" s="248" t="s">
        <v>200</v>
      </c>
      <c r="AM111" s="248"/>
      <c r="AN111" s="248" t="s">
        <v>200</v>
      </c>
      <c r="AO111" s="248" t="s">
        <v>200</v>
      </c>
      <c r="AP111" s="248" t="s">
        <v>200</v>
      </c>
      <c r="AQ111" s="248" t="s">
        <v>200</v>
      </c>
      <c r="AR111" s="248" t="s">
        <v>200</v>
      </c>
      <c r="AS111" s="248" t="s">
        <v>200</v>
      </c>
      <c r="AT111" s="248" t="s">
        <v>200</v>
      </c>
      <c r="AU111" s="248"/>
      <c r="AV111" s="74" t="s">
        <v>200</v>
      </c>
      <c r="AW111" s="75">
        <v>111</v>
      </c>
      <c r="AX111" s="76" t="s">
        <v>127</v>
      </c>
      <c r="AY111" s="76" t="s">
        <v>652</v>
      </c>
      <c r="AZ111" s="76" t="s">
        <v>632</v>
      </c>
      <c r="BA111" s="78" t="s">
        <v>206</v>
      </c>
      <c r="BB111" s="78" t="s">
        <v>206</v>
      </c>
      <c r="BC111" s="76">
        <v>240</v>
      </c>
      <c r="BD111" s="76">
        <v>39120</v>
      </c>
      <c r="BE111" s="76">
        <v>4000</v>
      </c>
      <c r="BF111" s="76">
        <v>100000</v>
      </c>
      <c r="BG111" s="76" t="s">
        <v>211</v>
      </c>
    </row>
    <row r="112" spans="1:59">
      <c r="A112" s="66"/>
      <c r="B112" s="66"/>
      <c r="C112" s="74"/>
      <c r="D112" s="74"/>
      <c r="E112" s="66"/>
      <c r="F112" s="66"/>
      <c r="G112" s="66"/>
      <c r="H112" s="66"/>
      <c r="I112" s="66"/>
      <c r="J112" s="66"/>
      <c r="K112" s="66"/>
      <c r="L112" s="74"/>
      <c r="M112" s="75">
        <v>111</v>
      </c>
      <c r="N112" s="72" t="s">
        <v>121</v>
      </c>
      <c r="O112" s="72" t="s">
        <v>650</v>
      </c>
      <c r="P112" s="72" t="s">
        <v>301</v>
      </c>
      <c r="Q112" s="72" t="s">
        <v>104</v>
      </c>
      <c r="R112" s="72" t="s">
        <v>651</v>
      </c>
      <c r="S112" s="72">
        <v>9</v>
      </c>
      <c r="T112" s="72">
        <v>806</v>
      </c>
      <c r="U112" s="72">
        <v>3000</v>
      </c>
      <c r="V112" s="72">
        <v>15000</v>
      </c>
      <c r="W112" s="72" t="s">
        <v>204</v>
      </c>
      <c r="X112" s="74" t="s">
        <v>200</v>
      </c>
      <c r="Y112" s="72">
        <v>111</v>
      </c>
      <c r="Z112" s="248" t="s">
        <v>200</v>
      </c>
      <c r="AA112" s="248"/>
      <c r="AB112" s="248" t="s">
        <v>200</v>
      </c>
      <c r="AC112" s="248" t="s">
        <v>200</v>
      </c>
      <c r="AD112" s="248" t="s">
        <v>200</v>
      </c>
      <c r="AE112" s="248" t="s">
        <v>200</v>
      </c>
      <c r="AF112" s="248" t="s">
        <v>200</v>
      </c>
      <c r="AG112" s="248" t="s">
        <v>200</v>
      </c>
      <c r="AH112" s="248" t="s">
        <v>200</v>
      </c>
      <c r="AI112" s="248"/>
      <c r="AJ112" s="74" t="s">
        <v>200</v>
      </c>
      <c r="AK112" s="72">
        <v>114</v>
      </c>
      <c r="AL112" s="248" t="s">
        <v>200</v>
      </c>
      <c r="AM112" s="248"/>
      <c r="AN112" s="248" t="s">
        <v>200</v>
      </c>
      <c r="AO112" s="248" t="s">
        <v>200</v>
      </c>
      <c r="AP112" s="248" t="s">
        <v>200</v>
      </c>
      <c r="AQ112" s="248" t="s">
        <v>200</v>
      </c>
      <c r="AR112" s="248" t="s">
        <v>200</v>
      </c>
      <c r="AS112" s="248" t="s">
        <v>200</v>
      </c>
      <c r="AT112" s="248" t="s">
        <v>200</v>
      </c>
      <c r="AU112" s="248"/>
      <c r="AV112" s="74" t="s">
        <v>200</v>
      </c>
      <c r="AW112" s="75">
        <v>112</v>
      </c>
      <c r="AX112" s="76" t="s">
        <v>127</v>
      </c>
      <c r="AY112" s="76" t="s">
        <v>654</v>
      </c>
      <c r="AZ112" s="76" t="s">
        <v>632</v>
      </c>
      <c r="BA112" s="78" t="s">
        <v>206</v>
      </c>
      <c r="BB112" s="78" t="s">
        <v>206</v>
      </c>
      <c r="BC112" s="76">
        <v>273</v>
      </c>
      <c r="BD112" s="76">
        <v>44499</v>
      </c>
      <c r="BE112" s="76">
        <v>4000</v>
      </c>
      <c r="BF112" s="76">
        <v>100000</v>
      </c>
      <c r="BG112" s="76" t="s">
        <v>211</v>
      </c>
    </row>
    <row r="113" spans="1:59">
      <c r="A113" s="66"/>
      <c r="B113" s="66"/>
      <c r="C113" s="74"/>
      <c r="D113" s="74"/>
      <c r="E113" s="66"/>
      <c r="F113" s="66"/>
      <c r="G113" s="66"/>
      <c r="H113" s="66"/>
      <c r="I113" s="66"/>
      <c r="J113" s="66"/>
      <c r="K113" s="66"/>
      <c r="L113" s="74"/>
      <c r="M113" s="75">
        <v>112</v>
      </c>
      <c r="N113" s="72" t="s">
        <v>121</v>
      </c>
      <c r="O113" s="72" t="s">
        <v>653</v>
      </c>
      <c r="P113" s="72" t="s">
        <v>301</v>
      </c>
      <c r="Q113" s="72" t="s">
        <v>104</v>
      </c>
      <c r="R113" s="72" t="s">
        <v>651</v>
      </c>
      <c r="S113" s="72">
        <v>9</v>
      </c>
      <c r="T113" s="72">
        <v>806</v>
      </c>
      <c r="U113" s="72">
        <v>4000</v>
      </c>
      <c r="V113" s="72">
        <v>15000</v>
      </c>
      <c r="W113" s="72" t="s">
        <v>204</v>
      </c>
      <c r="X113" s="74" t="s">
        <v>200</v>
      </c>
      <c r="Y113" s="72">
        <v>112</v>
      </c>
      <c r="Z113" s="248" t="s">
        <v>200</v>
      </c>
      <c r="AA113" s="248"/>
      <c r="AB113" s="248" t="s">
        <v>200</v>
      </c>
      <c r="AC113" s="248" t="s">
        <v>200</v>
      </c>
      <c r="AD113" s="248" t="s">
        <v>200</v>
      </c>
      <c r="AE113" s="248" t="s">
        <v>200</v>
      </c>
      <c r="AF113" s="248" t="s">
        <v>200</v>
      </c>
      <c r="AG113" s="248" t="s">
        <v>200</v>
      </c>
      <c r="AH113" s="248" t="s">
        <v>200</v>
      </c>
      <c r="AI113" s="248"/>
      <c r="AJ113" s="74" t="s">
        <v>200</v>
      </c>
      <c r="AK113" s="72">
        <v>115</v>
      </c>
      <c r="AL113" s="248" t="s">
        <v>200</v>
      </c>
      <c r="AM113" s="248"/>
      <c r="AN113" s="248" t="s">
        <v>200</v>
      </c>
      <c r="AO113" s="248" t="s">
        <v>200</v>
      </c>
      <c r="AP113" s="248" t="s">
        <v>200</v>
      </c>
      <c r="AQ113" s="248" t="s">
        <v>200</v>
      </c>
      <c r="AR113" s="248" t="s">
        <v>200</v>
      </c>
      <c r="AS113" s="248" t="s">
        <v>200</v>
      </c>
      <c r="AT113" s="248" t="s">
        <v>200</v>
      </c>
      <c r="AU113" s="248"/>
      <c r="AV113" s="74" t="s">
        <v>200</v>
      </c>
      <c r="AW113" s="75">
        <v>113</v>
      </c>
      <c r="AX113" s="76" t="s">
        <v>127</v>
      </c>
      <c r="AY113" s="76" t="s">
        <v>656</v>
      </c>
      <c r="AZ113" s="76" t="s">
        <v>632</v>
      </c>
      <c r="BA113" s="78" t="s">
        <v>206</v>
      </c>
      <c r="BB113" s="78" t="s">
        <v>206</v>
      </c>
      <c r="BC113" s="76">
        <v>307</v>
      </c>
      <c r="BD113" s="76">
        <v>50041</v>
      </c>
      <c r="BE113" s="76">
        <v>4000</v>
      </c>
      <c r="BF113" s="76">
        <v>100000</v>
      </c>
      <c r="BG113" s="76" t="s">
        <v>211</v>
      </c>
    </row>
    <row r="114" spans="1:59">
      <c r="A114" s="66"/>
      <c r="B114" s="66"/>
      <c r="C114" s="74"/>
      <c r="D114" s="74"/>
      <c r="E114" s="66"/>
      <c r="F114" s="66"/>
      <c r="G114" s="66"/>
      <c r="H114" s="66"/>
      <c r="I114" s="66"/>
      <c r="J114" s="66"/>
      <c r="K114" s="66"/>
      <c r="L114" s="74"/>
      <c r="M114" s="75">
        <v>113</v>
      </c>
      <c r="N114" s="72" t="s">
        <v>121</v>
      </c>
      <c r="O114" s="72" t="s">
        <v>655</v>
      </c>
      <c r="P114" s="72" t="s">
        <v>301</v>
      </c>
      <c r="Q114" s="72" t="s">
        <v>104</v>
      </c>
      <c r="R114" s="72" t="s">
        <v>651</v>
      </c>
      <c r="S114" s="72">
        <v>9</v>
      </c>
      <c r="T114" s="72">
        <v>806</v>
      </c>
      <c r="U114" s="72">
        <v>6500</v>
      </c>
      <c r="V114" s="72">
        <v>15000</v>
      </c>
      <c r="W114" s="72" t="s">
        <v>204</v>
      </c>
      <c r="X114" s="74" t="s">
        <v>200</v>
      </c>
      <c r="Y114" s="72">
        <v>113</v>
      </c>
      <c r="Z114" s="248" t="s">
        <v>200</v>
      </c>
      <c r="AA114" s="248"/>
      <c r="AB114" s="248" t="s">
        <v>200</v>
      </c>
      <c r="AC114" s="248" t="s">
        <v>200</v>
      </c>
      <c r="AD114" s="248" t="s">
        <v>200</v>
      </c>
      <c r="AE114" s="248" t="s">
        <v>200</v>
      </c>
      <c r="AF114" s="248" t="s">
        <v>200</v>
      </c>
      <c r="AG114" s="248" t="s">
        <v>200</v>
      </c>
      <c r="AH114" s="248" t="s">
        <v>200</v>
      </c>
      <c r="AI114" s="248"/>
      <c r="AJ114" s="74" t="s">
        <v>200</v>
      </c>
      <c r="AK114" s="72">
        <v>116</v>
      </c>
      <c r="AL114" s="248" t="s">
        <v>200</v>
      </c>
      <c r="AM114" s="248"/>
      <c r="AN114" s="248" t="s">
        <v>200</v>
      </c>
      <c r="AO114" s="248" t="s">
        <v>200</v>
      </c>
      <c r="AP114" s="248" t="s">
        <v>200</v>
      </c>
      <c r="AQ114" s="248" t="s">
        <v>200</v>
      </c>
      <c r="AR114" s="248" t="s">
        <v>200</v>
      </c>
      <c r="AS114" s="248" t="s">
        <v>200</v>
      </c>
      <c r="AT114" s="248" t="s">
        <v>200</v>
      </c>
      <c r="AU114" s="248"/>
      <c r="AV114" s="74" t="s">
        <v>200</v>
      </c>
      <c r="AW114" s="75">
        <v>114</v>
      </c>
      <c r="AX114" s="76" t="s">
        <v>127</v>
      </c>
      <c r="AY114" s="76" t="s">
        <v>659</v>
      </c>
      <c r="AZ114" s="76" t="s">
        <v>632</v>
      </c>
      <c r="BA114" s="78" t="s">
        <v>206</v>
      </c>
      <c r="BB114" s="78" t="s">
        <v>206</v>
      </c>
      <c r="BC114" s="76">
        <v>18</v>
      </c>
      <c r="BD114" s="76">
        <v>3251</v>
      </c>
      <c r="BE114" s="76">
        <v>4000</v>
      </c>
      <c r="BF114" s="76">
        <v>100000</v>
      </c>
      <c r="BG114" s="76" t="s">
        <v>211</v>
      </c>
    </row>
    <row r="115" spans="1:59">
      <c r="A115" s="66"/>
      <c r="B115" s="66"/>
      <c r="C115" s="74"/>
      <c r="D115" s="74"/>
      <c r="E115" s="66"/>
      <c r="F115" s="66"/>
      <c r="G115" s="66"/>
      <c r="H115" s="66"/>
      <c r="I115" s="66"/>
      <c r="J115" s="66"/>
      <c r="K115" s="66"/>
      <c r="L115" s="74"/>
      <c r="M115" s="75">
        <v>114</v>
      </c>
      <c r="N115" s="72" t="s">
        <v>121</v>
      </c>
      <c r="O115" s="72" t="s">
        <v>657</v>
      </c>
      <c r="P115" s="72" t="s">
        <v>301</v>
      </c>
      <c r="Q115" s="72" t="s">
        <v>104</v>
      </c>
      <c r="R115" s="72" t="s">
        <v>658</v>
      </c>
      <c r="S115" s="72">
        <v>12</v>
      </c>
      <c r="T115" s="72">
        <v>1055</v>
      </c>
      <c r="U115" s="72">
        <v>3000</v>
      </c>
      <c r="V115" s="72">
        <v>15000</v>
      </c>
      <c r="W115" s="72" t="s">
        <v>204</v>
      </c>
      <c r="X115" s="74" t="s">
        <v>200</v>
      </c>
      <c r="Y115" s="72">
        <v>114</v>
      </c>
      <c r="Z115" s="248" t="s">
        <v>200</v>
      </c>
      <c r="AA115" s="248"/>
      <c r="AB115" s="248" t="s">
        <v>200</v>
      </c>
      <c r="AC115" s="248" t="s">
        <v>200</v>
      </c>
      <c r="AD115" s="248" t="s">
        <v>200</v>
      </c>
      <c r="AE115" s="248" t="s">
        <v>200</v>
      </c>
      <c r="AF115" s="248" t="s">
        <v>200</v>
      </c>
      <c r="AG115" s="248" t="s">
        <v>200</v>
      </c>
      <c r="AH115" s="248" t="s">
        <v>200</v>
      </c>
      <c r="AI115" s="248"/>
      <c r="AJ115" s="74" t="s">
        <v>200</v>
      </c>
      <c r="AK115" s="72">
        <v>117</v>
      </c>
      <c r="AL115" s="248" t="s">
        <v>200</v>
      </c>
      <c r="AM115" s="248"/>
      <c r="AN115" s="248" t="s">
        <v>200</v>
      </c>
      <c r="AO115" s="248" t="s">
        <v>200</v>
      </c>
      <c r="AP115" s="248" t="s">
        <v>200</v>
      </c>
      <c r="AQ115" s="248" t="s">
        <v>200</v>
      </c>
      <c r="AR115" s="248" t="s">
        <v>200</v>
      </c>
      <c r="AS115" s="248" t="s">
        <v>200</v>
      </c>
      <c r="AT115" s="248" t="s">
        <v>200</v>
      </c>
      <c r="AU115" s="248"/>
      <c r="AV115" s="74" t="s">
        <v>200</v>
      </c>
      <c r="AW115" s="75">
        <v>115</v>
      </c>
      <c r="AX115" s="76" t="s">
        <v>127</v>
      </c>
      <c r="AY115" s="76" t="s">
        <v>661</v>
      </c>
      <c r="AZ115" s="76" t="s">
        <v>215</v>
      </c>
      <c r="BA115" s="78" t="s">
        <v>206</v>
      </c>
      <c r="BB115" s="78" t="s">
        <v>206</v>
      </c>
      <c r="BC115" s="76">
        <v>138</v>
      </c>
      <c r="BD115" s="76">
        <v>20680</v>
      </c>
      <c r="BE115" s="76">
        <v>4000</v>
      </c>
      <c r="BF115" s="76">
        <v>100000</v>
      </c>
      <c r="BG115" s="76" t="s">
        <v>216</v>
      </c>
    </row>
    <row r="116" spans="1:59">
      <c r="A116" s="66"/>
      <c r="B116" s="66"/>
      <c r="C116" s="74"/>
      <c r="D116" s="74"/>
      <c r="E116" s="66"/>
      <c r="F116" s="66"/>
      <c r="G116" s="66"/>
      <c r="H116" s="66"/>
      <c r="I116" s="66"/>
      <c r="J116" s="66"/>
      <c r="K116" s="66"/>
      <c r="L116" s="74"/>
      <c r="M116" s="75">
        <v>115</v>
      </c>
      <c r="N116" s="72" t="s">
        <v>121</v>
      </c>
      <c r="O116" s="72" t="s">
        <v>660</v>
      </c>
      <c r="P116" s="72" t="s">
        <v>301</v>
      </c>
      <c r="Q116" s="72" t="s">
        <v>104</v>
      </c>
      <c r="R116" s="72" t="s">
        <v>658</v>
      </c>
      <c r="S116" s="72">
        <v>12</v>
      </c>
      <c r="T116" s="72">
        <v>1055</v>
      </c>
      <c r="U116" s="72">
        <v>4000</v>
      </c>
      <c r="V116" s="72">
        <v>15000</v>
      </c>
      <c r="W116" s="72" t="s">
        <v>204</v>
      </c>
      <c r="X116" s="74" t="s">
        <v>200</v>
      </c>
      <c r="Y116" s="72">
        <v>115</v>
      </c>
      <c r="Z116" s="248" t="s">
        <v>200</v>
      </c>
      <c r="AA116" s="248"/>
      <c r="AB116" s="248" t="s">
        <v>200</v>
      </c>
      <c r="AC116" s="248" t="s">
        <v>200</v>
      </c>
      <c r="AD116" s="248" t="s">
        <v>200</v>
      </c>
      <c r="AE116" s="248" t="s">
        <v>200</v>
      </c>
      <c r="AF116" s="248" t="s">
        <v>200</v>
      </c>
      <c r="AG116" s="248" t="s">
        <v>200</v>
      </c>
      <c r="AH116" s="248" t="s">
        <v>200</v>
      </c>
      <c r="AI116" s="248"/>
      <c r="AJ116" s="74" t="s">
        <v>200</v>
      </c>
      <c r="AK116" s="72">
        <v>118</v>
      </c>
      <c r="AL116" s="248" t="s">
        <v>200</v>
      </c>
      <c r="AM116" s="248"/>
      <c r="AN116" s="248" t="s">
        <v>200</v>
      </c>
      <c r="AO116" s="248" t="s">
        <v>200</v>
      </c>
      <c r="AP116" s="248" t="s">
        <v>200</v>
      </c>
      <c r="AQ116" s="248" t="s">
        <v>200</v>
      </c>
      <c r="AR116" s="248" t="s">
        <v>200</v>
      </c>
      <c r="AS116" s="248" t="s">
        <v>200</v>
      </c>
      <c r="AT116" s="248" t="s">
        <v>200</v>
      </c>
      <c r="AU116" s="248"/>
      <c r="AV116" s="74" t="s">
        <v>200</v>
      </c>
      <c r="AW116" s="75">
        <v>116</v>
      </c>
      <c r="AX116" s="76" t="s">
        <v>127</v>
      </c>
      <c r="AY116" s="76" t="s">
        <v>663</v>
      </c>
      <c r="AZ116" s="76" t="s">
        <v>215</v>
      </c>
      <c r="BA116" s="78" t="s">
        <v>206</v>
      </c>
      <c r="BB116" s="78" t="s">
        <v>206</v>
      </c>
      <c r="BC116" s="76">
        <v>103</v>
      </c>
      <c r="BD116" s="76">
        <v>16000</v>
      </c>
      <c r="BE116" s="76">
        <v>4000</v>
      </c>
      <c r="BF116" s="76">
        <v>100000</v>
      </c>
      <c r="BG116" s="76" t="s">
        <v>216</v>
      </c>
    </row>
    <row r="117" spans="1:59">
      <c r="A117" s="66"/>
      <c r="B117" s="66"/>
      <c r="C117" s="74"/>
      <c r="D117" s="74"/>
      <c r="E117" s="66"/>
      <c r="F117" s="66"/>
      <c r="G117" s="66"/>
      <c r="H117" s="66"/>
      <c r="I117" s="66"/>
      <c r="J117" s="66"/>
      <c r="K117" s="66"/>
      <c r="L117" s="74"/>
      <c r="M117" s="75">
        <v>116</v>
      </c>
      <c r="N117" s="72" t="s">
        <v>121</v>
      </c>
      <c r="O117" s="72" t="s">
        <v>662</v>
      </c>
      <c r="P117" s="72" t="s">
        <v>301</v>
      </c>
      <c r="Q117" s="72" t="s">
        <v>104</v>
      </c>
      <c r="R117" s="72" t="s">
        <v>658</v>
      </c>
      <c r="S117" s="72">
        <v>12</v>
      </c>
      <c r="T117" s="72">
        <v>1055</v>
      </c>
      <c r="U117" s="72">
        <v>6500</v>
      </c>
      <c r="V117" s="72">
        <v>15000</v>
      </c>
      <c r="W117" s="72" t="s">
        <v>204</v>
      </c>
      <c r="X117" s="74" t="s">
        <v>200</v>
      </c>
      <c r="Y117" s="72">
        <v>116</v>
      </c>
      <c r="Z117" s="248" t="s">
        <v>200</v>
      </c>
      <c r="AA117" s="248"/>
      <c r="AB117" s="248" t="s">
        <v>200</v>
      </c>
      <c r="AC117" s="248" t="s">
        <v>200</v>
      </c>
      <c r="AD117" s="248" t="s">
        <v>200</v>
      </c>
      <c r="AE117" s="248" t="s">
        <v>200</v>
      </c>
      <c r="AF117" s="248" t="s">
        <v>200</v>
      </c>
      <c r="AG117" s="248" t="s">
        <v>200</v>
      </c>
      <c r="AH117" s="248" t="s">
        <v>200</v>
      </c>
      <c r="AI117" s="248"/>
      <c r="AJ117" s="74" t="s">
        <v>200</v>
      </c>
      <c r="AK117" s="72">
        <v>119</v>
      </c>
      <c r="AL117" s="248" t="s">
        <v>200</v>
      </c>
      <c r="AM117" s="248"/>
      <c r="AN117" s="248" t="s">
        <v>200</v>
      </c>
      <c r="AO117" s="248" t="s">
        <v>200</v>
      </c>
      <c r="AP117" s="248" t="s">
        <v>200</v>
      </c>
      <c r="AQ117" s="248" t="s">
        <v>200</v>
      </c>
      <c r="AR117" s="248" t="s">
        <v>200</v>
      </c>
      <c r="AS117" s="248" t="s">
        <v>200</v>
      </c>
      <c r="AT117" s="248" t="s">
        <v>200</v>
      </c>
      <c r="AU117" s="248"/>
      <c r="AV117" s="74" t="s">
        <v>200</v>
      </c>
      <c r="AW117" s="75">
        <v>117</v>
      </c>
      <c r="AX117" s="76" t="s">
        <v>127</v>
      </c>
      <c r="AY117" s="76" t="s">
        <v>666</v>
      </c>
      <c r="AZ117" s="76" t="s">
        <v>595</v>
      </c>
      <c r="BA117" s="78" t="s">
        <v>206</v>
      </c>
      <c r="BB117" s="78" t="s">
        <v>206</v>
      </c>
      <c r="BC117" s="76">
        <v>80</v>
      </c>
      <c r="BD117" s="76">
        <v>11200</v>
      </c>
      <c r="BE117" s="76">
        <v>4000</v>
      </c>
      <c r="BF117" s="76">
        <v>100000</v>
      </c>
      <c r="BG117" s="76" t="s">
        <v>211</v>
      </c>
    </row>
    <row r="118" spans="1:59">
      <c r="A118" s="66"/>
      <c r="B118" s="66"/>
      <c r="C118" s="74"/>
      <c r="D118" s="74"/>
      <c r="E118" s="66"/>
      <c r="F118" s="66"/>
      <c r="G118" s="66"/>
      <c r="H118" s="66"/>
      <c r="I118" s="66"/>
      <c r="J118" s="66"/>
      <c r="K118" s="66"/>
      <c r="L118" s="74"/>
      <c r="M118" s="75">
        <v>117</v>
      </c>
      <c r="N118" s="72" t="s">
        <v>121</v>
      </c>
      <c r="O118" s="72" t="s">
        <v>664</v>
      </c>
      <c r="P118" s="72" t="s">
        <v>301</v>
      </c>
      <c r="Q118" s="72" t="s">
        <v>104</v>
      </c>
      <c r="R118" s="72" t="s">
        <v>665</v>
      </c>
      <c r="S118" s="72">
        <v>15</v>
      </c>
      <c r="T118" s="72">
        <v>1521</v>
      </c>
      <c r="U118" s="72">
        <v>3000</v>
      </c>
      <c r="V118" s="72">
        <v>15000</v>
      </c>
      <c r="W118" s="72" t="s">
        <v>204</v>
      </c>
      <c r="X118" s="74" t="s">
        <v>200</v>
      </c>
      <c r="Y118" s="72">
        <v>117</v>
      </c>
      <c r="Z118" s="248" t="s">
        <v>200</v>
      </c>
      <c r="AA118" s="248"/>
      <c r="AB118" s="248" t="s">
        <v>200</v>
      </c>
      <c r="AC118" s="248" t="s">
        <v>200</v>
      </c>
      <c r="AD118" s="248" t="s">
        <v>200</v>
      </c>
      <c r="AE118" s="248" t="s">
        <v>200</v>
      </c>
      <c r="AF118" s="248" t="s">
        <v>200</v>
      </c>
      <c r="AG118" s="248" t="s">
        <v>200</v>
      </c>
      <c r="AH118" s="248" t="s">
        <v>200</v>
      </c>
      <c r="AI118" s="248"/>
      <c r="AJ118" s="74" t="s">
        <v>200</v>
      </c>
      <c r="AK118" s="72">
        <v>120</v>
      </c>
      <c r="AL118" s="248" t="s">
        <v>200</v>
      </c>
      <c r="AM118" s="248"/>
      <c r="AN118" s="248" t="s">
        <v>200</v>
      </c>
      <c r="AO118" s="248" t="s">
        <v>200</v>
      </c>
      <c r="AP118" s="248" t="s">
        <v>200</v>
      </c>
      <c r="AQ118" s="248" t="s">
        <v>200</v>
      </c>
      <c r="AR118" s="248" t="s">
        <v>200</v>
      </c>
      <c r="AS118" s="248" t="s">
        <v>200</v>
      </c>
      <c r="AT118" s="248" t="s">
        <v>200</v>
      </c>
      <c r="AU118" s="248"/>
      <c r="AV118" s="74" t="s">
        <v>200</v>
      </c>
      <c r="AW118" s="75">
        <v>118</v>
      </c>
      <c r="AX118" s="76" t="s">
        <v>127</v>
      </c>
      <c r="AY118" s="76" t="s">
        <v>668</v>
      </c>
      <c r="AZ118" s="76" t="s">
        <v>595</v>
      </c>
      <c r="BA118" s="78" t="s">
        <v>206</v>
      </c>
      <c r="BB118" s="78" t="s">
        <v>206</v>
      </c>
      <c r="BC118" s="76">
        <v>90</v>
      </c>
      <c r="BD118" s="76">
        <v>12600</v>
      </c>
      <c r="BE118" s="76">
        <v>4000</v>
      </c>
      <c r="BF118" s="76">
        <v>100000</v>
      </c>
      <c r="BG118" s="76" t="s">
        <v>211</v>
      </c>
    </row>
    <row r="119" spans="1:59">
      <c r="A119" s="66"/>
      <c r="B119" s="66"/>
      <c r="C119" s="74"/>
      <c r="D119" s="74"/>
      <c r="E119" s="66"/>
      <c r="F119" s="66"/>
      <c r="G119" s="66"/>
      <c r="H119" s="66"/>
      <c r="I119" s="66"/>
      <c r="J119" s="66"/>
      <c r="K119" s="66"/>
      <c r="L119" s="74"/>
      <c r="M119" s="75">
        <v>118</v>
      </c>
      <c r="N119" s="72" t="s">
        <v>121</v>
      </c>
      <c r="O119" s="72" t="s">
        <v>667</v>
      </c>
      <c r="P119" s="72" t="s">
        <v>301</v>
      </c>
      <c r="Q119" s="72" t="s">
        <v>104</v>
      </c>
      <c r="R119" s="72" t="s">
        <v>665</v>
      </c>
      <c r="S119" s="72">
        <v>15</v>
      </c>
      <c r="T119" s="72">
        <v>1521</v>
      </c>
      <c r="U119" s="72">
        <v>4000</v>
      </c>
      <c r="V119" s="72">
        <v>15000</v>
      </c>
      <c r="W119" s="72" t="s">
        <v>204</v>
      </c>
      <c r="X119" s="74" t="s">
        <v>200</v>
      </c>
      <c r="Y119" s="72">
        <v>118</v>
      </c>
      <c r="Z119" s="248" t="s">
        <v>200</v>
      </c>
      <c r="AA119" s="248"/>
      <c r="AB119" s="248" t="s">
        <v>200</v>
      </c>
      <c r="AC119" s="248" t="s">
        <v>200</v>
      </c>
      <c r="AD119" s="248" t="s">
        <v>200</v>
      </c>
      <c r="AE119" s="248" t="s">
        <v>200</v>
      </c>
      <c r="AF119" s="248" t="s">
        <v>200</v>
      </c>
      <c r="AG119" s="248" t="s">
        <v>200</v>
      </c>
      <c r="AH119" s="248" t="s">
        <v>200</v>
      </c>
      <c r="AI119" s="248"/>
      <c r="AJ119" s="74" t="s">
        <v>200</v>
      </c>
      <c r="AK119" s="72">
        <v>121</v>
      </c>
      <c r="AL119" s="248" t="s">
        <v>200</v>
      </c>
      <c r="AM119" s="248"/>
      <c r="AN119" s="248" t="s">
        <v>200</v>
      </c>
      <c r="AO119" s="248" t="s">
        <v>200</v>
      </c>
      <c r="AP119" s="248" t="s">
        <v>200</v>
      </c>
      <c r="AQ119" s="248" t="s">
        <v>200</v>
      </c>
      <c r="AR119" s="248" t="s">
        <v>200</v>
      </c>
      <c r="AS119" s="248" t="s">
        <v>200</v>
      </c>
      <c r="AT119" s="248" t="s">
        <v>200</v>
      </c>
      <c r="AU119" s="248"/>
      <c r="AV119" s="74" t="s">
        <v>200</v>
      </c>
      <c r="AW119" s="75">
        <v>120</v>
      </c>
      <c r="AX119" s="76" t="s">
        <v>127</v>
      </c>
      <c r="AY119" s="76" t="s">
        <v>670</v>
      </c>
      <c r="AZ119" s="76" t="s">
        <v>595</v>
      </c>
      <c r="BA119" s="78" t="s">
        <v>206</v>
      </c>
      <c r="BB119" s="78" t="s">
        <v>206</v>
      </c>
      <c r="BC119" s="76">
        <v>105</v>
      </c>
      <c r="BD119" s="76">
        <v>14700</v>
      </c>
      <c r="BE119" s="76">
        <v>4000</v>
      </c>
      <c r="BF119" s="76">
        <v>100000</v>
      </c>
      <c r="BG119" s="76" t="s">
        <v>211</v>
      </c>
    </row>
    <row r="120" spans="1:59">
      <c r="A120" s="66"/>
      <c r="B120" s="66"/>
      <c r="C120" s="74"/>
      <c r="D120" s="74"/>
      <c r="E120" s="66"/>
      <c r="F120" s="66"/>
      <c r="G120" s="66"/>
      <c r="H120" s="66"/>
      <c r="I120" s="66"/>
      <c r="J120" s="66"/>
      <c r="K120" s="66"/>
      <c r="L120" s="74"/>
      <c r="M120" s="75">
        <v>119</v>
      </c>
      <c r="N120" s="72" t="s">
        <v>121</v>
      </c>
      <c r="O120" s="72" t="s">
        <v>669</v>
      </c>
      <c r="P120" s="72" t="s">
        <v>301</v>
      </c>
      <c r="Q120" s="72" t="s">
        <v>104</v>
      </c>
      <c r="R120" s="72" t="s">
        <v>665</v>
      </c>
      <c r="S120" s="72">
        <v>15</v>
      </c>
      <c r="T120" s="72">
        <v>1521</v>
      </c>
      <c r="U120" s="72">
        <v>6500</v>
      </c>
      <c r="V120" s="72">
        <v>15000</v>
      </c>
      <c r="W120" s="72" t="s">
        <v>204</v>
      </c>
      <c r="X120" s="74" t="s">
        <v>200</v>
      </c>
      <c r="Y120" s="72">
        <v>119</v>
      </c>
      <c r="Z120" s="248" t="s">
        <v>200</v>
      </c>
      <c r="AA120" s="248"/>
      <c r="AB120" s="248" t="s">
        <v>200</v>
      </c>
      <c r="AC120" s="248" t="s">
        <v>200</v>
      </c>
      <c r="AD120" s="248" t="s">
        <v>200</v>
      </c>
      <c r="AE120" s="248" t="s">
        <v>200</v>
      </c>
      <c r="AF120" s="248" t="s">
        <v>200</v>
      </c>
      <c r="AG120" s="248" t="s">
        <v>200</v>
      </c>
      <c r="AH120" s="248" t="s">
        <v>200</v>
      </c>
      <c r="AI120" s="248"/>
      <c r="AJ120" s="74" t="s">
        <v>200</v>
      </c>
      <c r="AK120" s="72">
        <v>122</v>
      </c>
      <c r="AL120" s="248" t="s">
        <v>200</v>
      </c>
      <c r="AM120" s="248"/>
      <c r="AN120" s="248" t="s">
        <v>200</v>
      </c>
      <c r="AO120" s="248" t="s">
        <v>200</v>
      </c>
      <c r="AP120" s="248" t="s">
        <v>200</v>
      </c>
      <c r="AQ120" s="248" t="s">
        <v>200</v>
      </c>
      <c r="AR120" s="248" t="s">
        <v>200</v>
      </c>
      <c r="AS120" s="248" t="s">
        <v>200</v>
      </c>
      <c r="AT120" s="248" t="s">
        <v>200</v>
      </c>
      <c r="AU120" s="248"/>
      <c r="AV120" s="74" t="s">
        <v>200</v>
      </c>
      <c r="AW120" s="75">
        <v>121</v>
      </c>
      <c r="AX120" s="76" t="s">
        <v>127</v>
      </c>
      <c r="AY120" s="76" t="s">
        <v>671</v>
      </c>
      <c r="AZ120" s="76" t="s">
        <v>595</v>
      </c>
      <c r="BA120" s="78" t="s">
        <v>206</v>
      </c>
      <c r="BB120" s="78" t="s">
        <v>206</v>
      </c>
      <c r="BC120" s="76">
        <v>110</v>
      </c>
      <c r="BD120" s="76">
        <v>15400</v>
      </c>
      <c r="BE120" s="76">
        <v>4000</v>
      </c>
      <c r="BF120" s="76">
        <v>100000</v>
      </c>
      <c r="BG120" s="76" t="s">
        <v>211</v>
      </c>
    </row>
    <row r="121" spans="1:59">
      <c r="A121" s="66"/>
      <c r="B121" s="66"/>
      <c r="C121" s="74"/>
      <c r="D121" s="74"/>
      <c r="E121" s="66"/>
      <c r="F121" s="66"/>
      <c r="G121" s="66"/>
      <c r="H121" s="66"/>
      <c r="I121" s="66"/>
      <c r="J121" s="66"/>
      <c r="K121" s="66"/>
      <c r="L121" s="74"/>
      <c r="M121" s="75">
        <v>122</v>
      </c>
      <c r="N121" s="72" t="s">
        <v>121</v>
      </c>
      <c r="O121" s="72" t="s">
        <v>672</v>
      </c>
      <c r="P121" s="72" t="s">
        <v>301</v>
      </c>
      <c r="Q121" s="72" t="s">
        <v>104</v>
      </c>
      <c r="R121" s="72" t="s">
        <v>673</v>
      </c>
      <c r="S121" s="72">
        <v>5</v>
      </c>
      <c r="T121" s="72">
        <v>470</v>
      </c>
      <c r="U121" s="72">
        <v>3000</v>
      </c>
      <c r="V121" s="72">
        <v>15000</v>
      </c>
      <c r="W121" s="72" t="s">
        <v>204</v>
      </c>
      <c r="X121" s="74" t="s">
        <v>200</v>
      </c>
      <c r="Y121" s="72">
        <v>120</v>
      </c>
      <c r="Z121" s="248" t="s">
        <v>200</v>
      </c>
      <c r="AA121" s="248"/>
      <c r="AB121" s="248" t="s">
        <v>200</v>
      </c>
      <c r="AC121" s="248" t="s">
        <v>200</v>
      </c>
      <c r="AD121" s="248" t="s">
        <v>200</v>
      </c>
      <c r="AE121" s="248" t="s">
        <v>200</v>
      </c>
      <c r="AF121" s="248" t="s">
        <v>200</v>
      </c>
      <c r="AG121" s="248" t="s">
        <v>200</v>
      </c>
      <c r="AH121" s="248" t="s">
        <v>200</v>
      </c>
      <c r="AI121" s="248"/>
      <c r="AJ121" s="74" t="s">
        <v>200</v>
      </c>
      <c r="AK121" s="72">
        <v>123</v>
      </c>
      <c r="AL121" s="248" t="s">
        <v>200</v>
      </c>
      <c r="AM121" s="248"/>
      <c r="AN121" s="248" t="s">
        <v>200</v>
      </c>
      <c r="AO121" s="248" t="s">
        <v>200</v>
      </c>
      <c r="AP121" s="248" t="s">
        <v>200</v>
      </c>
      <c r="AQ121" s="248" t="s">
        <v>200</v>
      </c>
      <c r="AR121" s="248" t="s">
        <v>200</v>
      </c>
      <c r="AS121" s="248" t="s">
        <v>200</v>
      </c>
      <c r="AT121" s="248" t="s">
        <v>200</v>
      </c>
      <c r="AU121" s="248"/>
      <c r="AV121" s="74" t="s">
        <v>200</v>
      </c>
      <c r="AW121" s="75">
        <v>122</v>
      </c>
      <c r="AX121" s="76" t="s">
        <v>127</v>
      </c>
      <c r="AY121" s="76" t="s">
        <v>674</v>
      </c>
      <c r="AZ121" s="76" t="s">
        <v>595</v>
      </c>
      <c r="BA121" s="78" t="s">
        <v>206</v>
      </c>
      <c r="BB121" s="78" t="s">
        <v>206</v>
      </c>
      <c r="BC121" s="76">
        <v>120</v>
      </c>
      <c r="BD121" s="76">
        <v>16800</v>
      </c>
      <c r="BE121" s="76">
        <v>4000</v>
      </c>
      <c r="BF121" s="76">
        <v>100000</v>
      </c>
      <c r="BG121" s="76" t="s">
        <v>211</v>
      </c>
    </row>
    <row r="122" spans="1:59">
      <c r="A122" s="66"/>
      <c r="B122" s="66"/>
      <c r="C122" s="74"/>
      <c r="D122" s="74"/>
      <c r="E122" s="66"/>
      <c r="F122" s="66"/>
      <c r="G122" s="66"/>
      <c r="H122" s="66"/>
      <c r="I122" s="66"/>
      <c r="J122" s="66"/>
      <c r="K122" s="66"/>
      <c r="L122" s="74"/>
      <c r="M122" s="75">
        <v>123</v>
      </c>
      <c r="N122" s="72" t="s">
        <v>121</v>
      </c>
      <c r="O122" s="72" t="s">
        <v>675</v>
      </c>
      <c r="P122" s="72" t="s">
        <v>301</v>
      </c>
      <c r="Q122" s="72" t="s">
        <v>104</v>
      </c>
      <c r="R122" s="72" t="s">
        <v>673</v>
      </c>
      <c r="S122" s="72">
        <v>5</v>
      </c>
      <c r="T122" s="72">
        <v>470</v>
      </c>
      <c r="U122" s="72">
        <v>6500</v>
      </c>
      <c r="V122" s="72">
        <v>15000</v>
      </c>
      <c r="W122" s="72" t="s">
        <v>204</v>
      </c>
      <c r="X122" s="74" t="s">
        <v>200</v>
      </c>
      <c r="Y122" s="72">
        <v>121</v>
      </c>
      <c r="Z122" s="248" t="s">
        <v>200</v>
      </c>
      <c r="AA122" s="248"/>
      <c r="AB122" s="248" t="s">
        <v>200</v>
      </c>
      <c r="AC122" s="248" t="s">
        <v>200</v>
      </c>
      <c r="AD122" s="248" t="s">
        <v>200</v>
      </c>
      <c r="AE122" s="248" t="s">
        <v>200</v>
      </c>
      <c r="AF122" s="248" t="s">
        <v>200</v>
      </c>
      <c r="AG122" s="248" t="s">
        <v>200</v>
      </c>
      <c r="AH122" s="248" t="s">
        <v>200</v>
      </c>
      <c r="AI122" s="248"/>
      <c r="AJ122" s="74" t="s">
        <v>200</v>
      </c>
      <c r="AK122" s="72">
        <v>124</v>
      </c>
      <c r="AL122" s="248" t="s">
        <v>200</v>
      </c>
      <c r="AM122" s="248"/>
      <c r="AN122" s="248" t="s">
        <v>200</v>
      </c>
      <c r="AO122" s="248" t="s">
        <v>200</v>
      </c>
      <c r="AP122" s="248" t="s">
        <v>200</v>
      </c>
      <c r="AQ122" s="248" t="s">
        <v>200</v>
      </c>
      <c r="AR122" s="248" t="s">
        <v>200</v>
      </c>
      <c r="AS122" s="248" t="s">
        <v>200</v>
      </c>
      <c r="AT122" s="248" t="s">
        <v>200</v>
      </c>
      <c r="AU122" s="248"/>
      <c r="AV122" s="74" t="s">
        <v>200</v>
      </c>
      <c r="AW122" s="75">
        <v>124</v>
      </c>
      <c r="AX122" s="76" t="s">
        <v>127</v>
      </c>
      <c r="AY122" s="76" t="s">
        <v>678</v>
      </c>
      <c r="AZ122" s="76" t="s">
        <v>595</v>
      </c>
      <c r="BA122" s="78" t="s">
        <v>206</v>
      </c>
      <c r="BB122" s="78" t="s">
        <v>206</v>
      </c>
      <c r="BC122" s="76">
        <v>153</v>
      </c>
      <c r="BD122" s="76">
        <v>21420</v>
      </c>
      <c r="BE122" s="76">
        <v>3000</v>
      </c>
      <c r="BF122" s="76">
        <v>100000</v>
      </c>
      <c r="BG122" s="76" t="s">
        <v>211</v>
      </c>
    </row>
    <row r="123" spans="1:59">
      <c r="A123" s="66"/>
      <c r="B123" s="66"/>
      <c r="C123" s="74"/>
      <c r="D123" s="74"/>
      <c r="E123" s="66"/>
      <c r="F123" s="66"/>
      <c r="G123" s="66"/>
      <c r="H123" s="66"/>
      <c r="I123" s="66"/>
      <c r="J123" s="66"/>
      <c r="K123" s="66"/>
      <c r="L123" s="74"/>
      <c r="M123" s="75">
        <v>124</v>
      </c>
      <c r="N123" s="72" t="s">
        <v>121</v>
      </c>
      <c r="O123" s="72" t="s">
        <v>676</v>
      </c>
      <c r="P123" s="72" t="s">
        <v>301</v>
      </c>
      <c r="Q123" s="72" t="s">
        <v>104</v>
      </c>
      <c r="R123" s="72" t="s">
        <v>677</v>
      </c>
      <c r="S123" s="72">
        <v>12</v>
      </c>
      <c r="T123" s="72">
        <v>1521</v>
      </c>
      <c r="U123" s="72">
        <v>3000</v>
      </c>
      <c r="V123" s="72">
        <v>15000</v>
      </c>
      <c r="W123" s="72" t="s">
        <v>204</v>
      </c>
      <c r="X123" s="74" t="s">
        <v>200</v>
      </c>
      <c r="Y123" s="72">
        <v>122</v>
      </c>
      <c r="Z123" s="248" t="s">
        <v>200</v>
      </c>
      <c r="AA123" s="248"/>
      <c r="AB123" s="248" t="s">
        <v>200</v>
      </c>
      <c r="AC123" s="248" t="s">
        <v>200</v>
      </c>
      <c r="AD123" s="248" t="s">
        <v>200</v>
      </c>
      <c r="AE123" s="248" t="s">
        <v>200</v>
      </c>
      <c r="AF123" s="248" t="s">
        <v>200</v>
      </c>
      <c r="AG123" s="248" t="s">
        <v>200</v>
      </c>
      <c r="AH123" s="248" t="s">
        <v>200</v>
      </c>
      <c r="AI123" s="248"/>
      <c r="AJ123" s="74" t="s">
        <v>200</v>
      </c>
      <c r="AK123" s="72">
        <v>125</v>
      </c>
      <c r="AL123" s="248" t="s">
        <v>200</v>
      </c>
      <c r="AM123" s="248"/>
      <c r="AN123" s="248" t="s">
        <v>200</v>
      </c>
      <c r="AO123" s="248" t="s">
        <v>200</v>
      </c>
      <c r="AP123" s="248" t="s">
        <v>200</v>
      </c>
      <c r="AQ123" s="248" t="s">
        <v>200</v>
      </c>
      <c r="AR123" s="248" t="s">
        <v>200</v>
      </c>
      <c r="AS123" s="248" t="s">
        <v>200</v>
      </c>
      <c r="AT123" s="248" t="s">
        <v>200</v>
      </c>
      <c r="AU123" s="248"/>
      <c r="AV123" s="74" t="s">
        <v>200</v>
      </c>
      <c r="AW123" s="75">
        <v>125</v>
      </c>
      <c r="AX123" s="76" t="s">
        <v>127</v>
      </c>
      <c r="AY123" s="76" t="s">
        <v>680</v>
      </c>
      <c r="AZ123" s="76" t="s">
        <v>595</v>
      </c>
      <c r="BA123" s="78" t="s">
        <v>206</v>
      </c>
      <c r="BB123" s="78" t="s">
        <v>206</v>
      </c>
      <c r="BC123" s="76">
        <v>165</v>
      </c>
      <c r="BD123" s="76">
        <v>23100</v>
      </c>
      <c r="BE123" s="76">
        <v>4000</v>
      </c>
      <c r="BF123" s="76">
        <v>100000</v>
      </c>
      <c r="BG123" s="76" t="s">
        <v>211</v>
      </c>
    </row>
    <row r="124" spans="1:59">
      <c r="A124" s="66"/>
      <c r="B124" s="66"/>
      <c r="C124" s="74"/>
      <c r="D124" s="74"/>
      <c r="E124" s="66"/>
      <c r="F124" s="66"/>
      <c r="G124" s="66"/>
      <c r="H124" s="66"/>
      <c r="I124" s="66"/>
      <c r="J124" s="66"/>
      <c r="K124" s="66"/>
      <c r="L124" s="74"/>
      <c r="M124" s="75">
        <v>125</v>
      </c>
      <c r="N124" s="72" t="s">
        <v>121</v>
      </c>
      <c r="O124" s="72" t="s">
        <v>679</v>
      </c>
      <c r="P124" s="72" t="s">
        <v>301</v>
      </c>
      <c r="Q124" s="72" t="s">
        <v>104</v>
      </c>
      <c r="R124" s="72" t="s">
        <v>677</v>
      </c>
      <c r="S124" s="72">
        <v>12</v>
      </c>
      <c r="T124" s="72">
        <v>1521</v>
      </c>
      <c r="U124" s="72">
        <v>4000</v>
      </c>
      <c r="V124" s="72">
        <v>15000</v>
      </c>
      <c r="W124" s="72" t="s">
        <v>204</v>
      </c>
      <c r="X124" s="74" t="s">
        <v>200</v>
      </c>
      <c r="Y124" s="72">
        <v>123</v>
      </c>
      <c r="Z124" s="248" t="s">
        <v>200</v>
      </c>
      <c r="AA124" s="248"/>
      <c r="AB124" s="248" t="s">
        <v>200</v>
      </c>
      <c r="AC124" s="248" t="s">
        <v>200</v>
      </c>
      <c r="AD124" s="248" t="s">
        <v>200</v>
      </c>
      <c r="AE124" s="248" t="s">
        <v>200</v>
      </c>
      <c r="AF124" s="248" t="s">
        <v>200</v>
      </c>
      <c r="AG124" s="248" t="s">
        <v>200</v>
      </c>
      <c r="AH124" s="248" t="s">
        <v>200</v>
      </c>
      <c r="AI124" s="248"/>
      <c r="AJ124" s="74" t="s">
        <v>200</v>
      </c>
      <c r="AK124" s="72">
        <v>126</v>
      </c>
      <c r="AL124" s="248" t="s">
        <v>200</v>
      </c>
      <c r="AM124" s="248"/>
      <c r="AN124" s="248" t="s">
        <v>200</v>
      </c>
      <c r="AO124" s="248" t="s">
        <v>200</v>
      </c>
      <c r="AP124" s="248" t="s">
        <v>200</v>
      </c>
      <c r="AQ124" s="248" t="s">
        <v>200</v>
      </c>
      <c r="AR124" s="248" t="s">
        <v>200</v>
      </c>
      <c r="AS124" s="248" t="s">
        <v>200</v>
      </c>
      <c r="AT124" s="248" t="s">
        <v>200</v>
      </c>
      <c r="AU124" s="248"/>
      <c r="AV124" s="74" t="s">
        <v>200</v>
      </c>
      <c r="AW124" s="75">
        <v>126</v>
      </c>
      <c r="AX124" s="76" t="s">
        <v>127</v>
      </c>
      <c r="AY124" s="76" t="s">
        <v>682</v>
      </c>
      <c r="AZ124" s="76" t="s">
        <v>632</v>
      </c>
      <c r="BA124" s="78" t="s">
        <v>206</v>
      </c>
      <c r="BB124" s="78" t="s">
        <v>206</v>
      </c>
      <c r="BC124" s="76">
        <v>472</v>
      </c>
      <c r="BD124" s="76">
        <v>60229</v>
      </c>
      <c r="BE124" s="76">
        <v>4000</v>
      </c>
      <c r="BF124" s="93">
        <v>100000</v>
      </c>
      <c r="BG124" s="92" t="s">
        <v>211</v>
      </c>
    </row>
    <row r="125" spans="1:59">
      <c r="A125" s="66"/>
      <c r="B125" s="66"/>
      <c r="C125" s="74"/>
      <c r="D125" s="74"/>
      <c r="E125" s="66"/>
      <c r="F125" s="66"/>
      <c r="G125" s="66"/>
      <c r="H125" s="66"/>
      <c r="I125" s="66"/>
      <c r="J125" s="66"/>
      <c r="K125" s="66"/>
      <c r="L125" s="74"/>
      <c r="M125" s="75">
        <v>126</v>
      </c>
      <c r="N125" s="72" t="s">
        <v>121</v>
      </c>
      <c r="O125" s="72" t="s">
        <v>681</v>
      </c>
      <c r="P125" s="72" t="s">
        <v>301</v>
      </c>
      <c r="Q125" s="72" t="s">
        <v>104</v>
      </c>
      <c r="R125" s="72" t="s">
        <v>677</v>
      </c>
      <c r="S125" s="72">
        <v>12</v>
      </c>
      <c r="T125" s="72">
        <v>1521</v>
      </c>
      <c r="U125" s="72">
        <v>6500</v>
      </c>
      <c r="V125" s="72">
        <v>15000</v>
      </c>
      <c r="W125" s="72" t="s">
        <v>204</v>
      </c>
      <c r="X125" s="74" t="s">
        <v>200</v>
      </c>
      <c r="Y125" s="72">
        <v>124</v>
      </c>
      <c r="Z125" s="248" t="s">
        <v>200</v>
      </c>
      <c r="AA125" s="248"/>
      <c r="AB125" s="248" t="s">
        <v>200</v>
      </c>
      <c r="AC125" s="248" t="s">
        <v>200</v>
      </c>
      <c r="AD125" s="248" t="s">
        <v>200</v>
      </c>
      <c r="AE125" s="248" t="s">
        <v>200</v>
      </c>
      <c r="AF125" s="248" t="s">
        <v>200</v>
      </c>
      <c r="AG125" s="248" t="s">
        <v>200</v>
      </c>
      <c r="AH125" s="248" t="s">
        <v>200</v>
      </c>
      <c r="AI125" s="248"/>
      <c r="AJ125" s="74" t="s">
        <v>200</v>
      </c>
      <c r="AK125" s="72">
        <v>127</v>
      </c>
      <c r="AL125" s="248" t="s">
        <v>200</v>
      </c>
      <c r="AM125" s="248"/>
      <c r="AN125" s="248" t="s">
        <v>200</v>
      </c>
      <c r="AO125" s="248" t="s">
        <v>200</v>
      </c>
      <c r="AP125" s="248" t="s">
        <v>200</v>
      </c>
      <c r="AQ125" s="248" t="s">
        <v>200</v>
      </c>
      <c r="AR125" s="248" t="s">
        <v>200</v>
      </c>
      <c r="AS125" s="248" t="s">
        <v>200</v>
      </c>
      <c r="AT125" s="248" t="s">
        <v>200</v>
      </c>
      <c r="AU125" s="248"/>
      <c r="AV125" s="74" t="s">
        <v>200</v>
      </c>
      <c r="AW125" s="75">
        <v>127</v>
      </c>
      <c r="AX125" s="76" t="s">
        <v>127</v>
      </c>
      <c r="AY125" s="76" t="s">
        <v>684</v>
      </c>
      <c r="AZ125" s="76" t="s">
        <v>632</v>
      </c>
      <c r="BA125" s="78" t="s">
        <v>206</v>
      </c>
      <c r="BB125" s="78" t="s">
        <v>206</v>
      </c>
      <c r="BC125" s="76">
        <v>536</v>
      </c>
      <c r="BD125" s="76">
        <v>68394</v>
      </c>
      <c r="BE125" s="76">
        <v>4000</v>
      </c>
      <c r="BF125" s="93">
        <v>100000</v>
      </c>
      <c r="BG125" s="92" t="s">
        <v>211</v>
      </c>
    </row>
    <row r="126" spans="1:59">
      <c r="A126" s="66"/>
      <c r="B126" s="66"/>
      <c r="C126" s="74"/>
      <c r="D126" s="74"/>
      <c r="E126" s="66"/>
      <c r="F126" s="66"/>
      <c r="G126" s="66"/>
      <c r="H126" s="66"/>
      <c r="I126" s="66"/>
      <c r="J126" s="66"/>
      <c r="K126" s="66"/>
      <c r="L126" s="74"/>
      <c r="M126" s="75">
        <v>127</v>
      </c>
      <c r="N126" s="72" t="s">
        <v>121</v>
      </c>
      <c r="O126" s="72" t="s">
        <v>683</v>
      </c>
      <c r="P126" s="72" t="s">
        <v>301</v>
      </c>
      <c r="Q126" s="72" t="s">
        <v>104</v>
      </c>
      <c r="R126" s="72" t="s">
        <v>651</v>
      </c>
      <c r="S126" s="72">
        <v>8.5</v>
      </c>
      <c r="T126" s="72">
        <v>1018</v>
      </c>
      <c r="U126" s="72">
        <v>3000</v>
      </c>
      <c r="V126" s="72">
        <v>15000</v>
      </c>
      <c r="W126" s="72" t="s">
        <v>204</v>
      </c>
      <c r="X126" s="74" t="s">
        <v>200</v>
      </c>
      <c r="Y126" s="72">
        <v>125</v>
      </c>
      <c r="Z126" s="248" t="s">
        <v>200</v>
      </c>
      <c r="AA126" s="248"/>
      <c r="AB126" s="248" t="s">
        <v>200</v>
      </c>
      <c r="AC126" s="248" t="s">
        <v>200</v>
      </c>
      <c r="AD126" s="248" t="s">
        <v>200</v>
      </c>
      <c r="AE126" s="248" t="s">
        <v>200</v>
      </c>
      <c r="AF126" s="248" t="s">
        <v>200</v>
      </c>
      <c r="AG126" s="248" t="s">
        <v>200</v>
      </c>
      <c r="AH126" s="248" t="s">
        <v>200</v>
      </c>
      <c r="AI126" s="248"/>
      <c r="AJ126" s="74" t="s">
        <v>200</v>
      </c>
      <c r="AK126" s="72">
        <v>128</v>
      </c>
      <c r="AL126" s="248" t="s">
        <v>200</v>
      </c>
      <c r="AM126" s="248"/>
      <c r="AN126" s="248" t="s">
        <v>200</v>
      </c>
      <c r="AO126" s="248" t="s">
        <v>200</v>
      </c>
      <c r="AP126" s="248" t="s">
        <v>200</v>
      </c>
      <c r="AQ126" s="248" t="s">
        <v>200</v>
      </c>
      <c r="AR126" s="248" t="s">
        <v>200</v>
      </c>
      <c r="AS126" s="248" t="s">
        <v>200</v>
      </c>
      <c r="AT126" s="248" t="s">
        <v>200</v>
      </c>
      <c r="AU126" s="248"/>
      <c r="AV126" s="74" t="s">
        <v>200</v>
      </c>
      <c r="AW126" s="75">
        <v>128</v>
      </c>
      <c r="AX126" s="76" t="s">
        <v>127</v>
      </c>
      <c r="AY126" s="76" t="s">
        <v>686</v>
      </c>
      <c r="AZ126" s="76" t="s">
        <v>632</v>
      </c>
      <c r="BA126" s="78" t="s">
        <v>206</v>
      </c>
      <c r="BB126" s="78" t="s">
        <v>206</v>
      </c>
      <c r="BC126" s="76">
        <v>18.899999999999999</v>
      </c>
      <c r="BD126" s="76">
        <v>2471</v>
      </c>
      <c r="BE126" s="76">
        <v>2700</v>
      </c>
      <c r="BF126" s="93">
        <v>100000</v>
      </c>
      <c r="BG126" s="92" t="s">
        <v>211</v>
      </c>
    </row>
    <row r="127" spans="1:59">
      <c r="A127" s="66"/>
      <c r="B127" s="66"/>
      <c r="C127" s="74"/>
      <c r="D127" s="74"/>
      <c r="E127" s="66"/>
      <c r="F127" s="66"/>
      <c r="G127" s="66"/>
      <c r="H127" s="66"/>
      <c r="I127" s="66"/>
      <c r="J127" s="66"/>
      <c r="K127" s="66"/>
      <c r="L127" s="74"/>
      <c r="M127" s="75">
        <v>128</v>
      </c>
      <c r="N127" s="72" t="s">
        <v>121</v>
      </c>
      <c r="O127" s="72" t="s">
        <v>685</v>
      </c>
      <c r="P127" s="72" t="s">
        <v>301</v>
      </c>
      <c r="Q127" s="72" t="s">
        <v>104</v>
      </c>
      <c r="R127" s="72" t="s">
        <v>651</v>
      </c>
      <c r="S127" s="72">
        <v>8.5</v>
      </c>
      <c r="T127" s="72">
        <v>1018</v>
      </c>
      <c r="U127" s="72">
        <v>4000</v>
      </c>
      <c r="V127" s="72">
        <v>15000</v>
      </c>
      <c r="W127" s="72" t="s">
        <v>204</v>
      </c>
      <c r="X127" s="74" t="s">
        <v>200</v>
      </c>
      <c r="Y127" s="72">
        <v>126</v>
      </c>
      <c r="Z127" s="248" t="s">
        <v>200</v>
      </c>
      <c r="AA127" s="248"/>
      <c r="AB127" s="248" t="s">
        <v>200</v>
      </c>
      <c r="AC127" s="248" t="s">
        <v>200</v>
      </c>
      <c r="AD127" s="248" t="s">
        <v>200</v>
      </c>
      <c r="AE127" s="248" t="s">
        <v>200</v>
      </c>
      <c r="AF127" s="248" t="s">
        <v>200</v>
      </c>
      <c r="AG127" s="248" t="s">
        <v>200</v>
      </c>
      <c r="AH127" s="248" t="s">
        <v>200</v>
      </c>
      <c r="AI127" s="248"/>
      <c r="AJ127" s="74" t="s">
        <v>200</v>
      </c>
      <c r="AK127" s="72">
        <v>129</v>
      </c>
      <c r="AL127" s="248" t="s">
        <v>200</v>
      </c>
      <c r="AM127" s="248"/>
      <c r="AN127" s="248" t="s">
        <v>200</v>
      </c>
      <c r="AO127" s="248" t="s">
        <v>200</v>
      </c>
      <c r="AP127" s="248" t="s">
        <v>200</v>
      </c>
      <c r="AQ127" s="248" t="s">
        <v>200</v>
      </c>
      <c r="AR127" s="248" t="s">
        <v>200</v>
      </c>
      <c r="AS127" s="248" t="s">
        <v>200</v>
      </c>
      <c r="AT127" s="248" t="s">
        <v>200</v>
      </c>
      <c r="AU127" s="248"/>
      <c r="AV127" s="74" t="s">
        <v>200</v>
      </c>
      <c r="AW127" s="75">
        <v>129</v>
      </c>
      <c r="AX127" s="76" t="s">
        <v>127</v>
      </c>
      <c r="AY127" s="76" t="s">
        <v>688</v>
      </c>
      <c r="AZ127" s="76" t="s">
        <v>632</v>
      </c>
      <c r="BA127" s="78" t="s">
        <v>206</v>
      </c>
      <c r="BB127" s="78" t="s">
        <v>206</v>
      </c>
      <c r="BC127" s="76">
        <v>49.5</v>
      </c>
      <c r="BD127" s="76">
        <v>6930</v>
      </c>
      <c r="BE127" s="76">
        <v>2700</v>
      </c>
      <c r="BF127" s="93">
        <v>100000</v>
      </c>
      <c r="BG127" s="92" t="s">
        <v>211</v>
      </c>
    </row>
    <row r="128" spans="1:59">
      <c r="A128" s="66"/>
      <c r="B128" s="66"/>
      <c r="C128" s="74"/>
      <c r="D128" s="74"/>
      <c r="E128" s="66"/>
      <c r="F128" s="66"/>
      <c r="G128" s="66"/>
      <c r="H128" s="66"/>
      <c r="I128" s="66"/>
      <c r="J128" s="66"/>
      <c r="K128" s="66"/>
      <c r="L128" s="74"/>
      <c r="M128" s="75">
        <v>129</v>
      </c>
      <c r="N128" s="72" t="s">
        <v>121</v>
      </c>
      <c r="O128" s="72" t="s">
        <v>687</v>
      </c>
      <c r="P128" s="72" t="s">
        <v>301</v>
      </c>
      <c r="Q128" s="72" t="s">
        <v>104</v>
      </c>
      <c r="R128" s="72" t="s">
        <v>651</v>
      </c>
      <c r="S128" s="72">
        <v>8.5</v>
      </c>
      <c r="T128" s="72">
        <v>1018</v>
      </c>
      <c r="U128" s="72">
        <v>6500</v>
      </c>
      <c r="V128" s="72">
        <v>15000</v>
      </c>
      <c r="W128" s="72" t="s">
        <v>204</v>
      </c>
      <c r="X128" s="74" t="s">
        <v>200</v>
      </c>
      <c r="Y128" s="72">
        <v>127</v>
      </c>
      <c r="Z128" s="248" t="s">
        <v>200</v>
      </c>
      <c r="AA128" s="248"/>
      <c r="AB128" s="248" t="s">
        <v>200</v>
      </c>
      <c r="AC128" s="248" t="s">
        <v>200</v>
      </c>
      <c r="AD128" s="248" t="s">
        <v>200</v>
      </c>
      <c r="AE128" s="248" t="s">
        <v>200</v>
      </c>
      <c r="AF128" s="248" t="s">
        <v>200</v>
      </c>
      <c r="AG128" s="248" t="s">
        <v>200</v>
      </c>
      <c r="AH128" s="248" t="s">
        <v>200</v>
      </c>
      <c r="AI128" s="248"/>
      <c r="AJ128" s="74" t="s">
        <v>200</v>
      </c>
      <c r="AK128" s="72">
        <v>130</v>
      </c>
      <c r="AL128" s="248" t="s">
        <v>200</v>
      </c>
      <c r="AM128" s="248"/>
      <c r="AN128" s="248" t="s">
        <v>200</v>
      </c>
      <c r="AO128" s="248" t="s">
        <v>200</v>
      </c>
      <c r="AP128" s="248" t="s">
        <v>200</v>
      </c>
      <c r="AQ128" s="248" t="s">
        <v>200</v>
      </c>
      <c r="AR128" s="248" t="s">
        <v>200</v>
      </c>
      <c r="AS128" s="248" t="s">
        <v>200</v>
      </c>
      <c r="AT128" s="248" t="s">
        <v>200</v>
      </c>
      <c r="AU128" s="248"/>
      <c r="AV128" s="74" t="s">
        <v>200</v>
      </c>
      <c r="AW128" s="75">
        <v>130</v>
      </c>
      <c r="AX128" s="76" t="s">
        <v>127</v>
      </c>
      <c r="AY128" s="76" t="s">
        <v>691</v>
      </c>
      <c r="AZ128" s="76" t="s">
        <v>632</v>
      </c>
      <c r="BA128" s="76" t="s">
        <v>206</v>
      </c>
      <c r="BB128" s="76" t="s">
        <v>206</v>
      </c>
      <c r="BC128" s="76">
        <v>60.5</v>
      </c>
      <c r="BD128" s="76">
        <v>8002</v>
      </c>
      <c r="BE128" s="76">
        <v>2700</v>
      </c>
      <c r="BF128" s="76">
        <v>100000</v>
      </c>
      <c r="BG128" s="76" t="s">
        <v>211</v>
      </c>
    </row>
    <row r="129" spans="1:59">
      <c r="A129" s="66"/>
      <c r="B129" s="66"/>
      <c r="C129" s="74"/>
      <c r="D129" s="74"/>
      <c r="E129" s="66"/>
      <c r="F129" s="66"/>
      <c r="G129" s="66"/>
      <c r="H129" s="66"/>
      <c r="I129" s="66"/>
      <c r="J129" s="66"/>
      <c r="K129" s="66"/>
      <c r="L129" s="74"/>
      <c r="M129" s="75">
        <v>130</v>
      </c>
      <c r="N129" s="72" t="s">
        <v>120</v>
      </c>
      <c r="O129" s="72" t="s">
        <v>689</v>
      </c>
      <c r="P129" s="72" t="s">
        <v>301</v>
      </c>
      <c r="Q129" s="72" t="s">
        <v>404</v>
      </c>
      <c r="R129" s="72" t="s">
        <v>690</v>
      </c>
      <c r="S129" s="72">
        <v>5</v>
      </c>
      <c r="T129" s="72">
        <v>400</v>
      </c>
      <c r="U129" s="72">
        <v>3000</v>
      </c>
      <c r="V129" s="72">
        <v>15000</v>
      </c>
      <c r="W129" s="72" t="s">
        <v>270</v>
      </c>
      <c r="X129" s="74" t="s">
        <v>200</v>
      </c>
      <c r="Y129" s="72">
        <v>128</v>
      </c>
      <c r="Z129" s="248" t="s">
        <v>200</v>
      </c>
      <c r="AA129" s="248"/>
      <c r="AB129" s="248" t="s">
        <v>200</v>
      </c>
      <c r="AC129" s="248" t="s">
        <v>200</v>
      </c>
      <c r="AD129" s="248" t="s">
        <v>200</v>
      </c>
      <c r="AE129" s="248" t="s">
        <v>200</v>
      </c>
      <c r="AF129" s="248" t="s">
        <v>200</v>
      </c>
      <c r="AG129" s="248" t="s">
        <v>200</v>
      </c>
      <c r="AH129" s="248" t="s">
        <v>200</v>
      </c>
      <c r="AI129" s="248"/>
      <c r="AJ129" s="74" t="s">
        <v>200</v>
      </c>
      <c r="AK129" s="72">
        <v>131</v>
      </c>
      <c r="AL129" s="248" t="s">
        <v>200</v>
      </c>
      <c r="AM129" s="248"/>
      <c r="AN129" s="248" t="s">
        <v>200</v>
      </c>
      <c r="AO129" s="248" t="s">
        <v>200</v>
      </c>
      <c r="AP129" s="248" t="s">
        <v>200</v>
      </c>
      <c r="AQ129" s="248" t="s">
        <v>200</v>
      </c>
      <c r="AR129" s="248" t="s">
        <v>200</v>
      </c>
      <c r="AS129" s="248" t="s">
        <v>200</v>
      </c>
      <c r="AT129" s="248" t="s">
        <v>200</v>
      </c>
      <c r="AU129" s="248"/>
      <c r="AV129" s="74" t="s">
        <v>200</v>
      </c>
      <c r="AW129" s="75">
        <v>131</v>
      </c>
      <c r="AX129" s="76" t="s">
        <v>127</v>
      </c>
      <c r="AY129" s="76" t="s">
        <v>693</v>
      </c>
      <c r="AZ129" s="76" t="s">
        <v>632</v>
      </c>
      <c r="BA129" s="76" t="s">
        <v>206</v>
      </c>
      <c r="BB129" s="76" t="s">
        <v>206</v>
      </c>
      <c r="BC129" s="76">
        <v>92</v>
      </c>
      <c r="BD129" s="76">
        <v>12169</v>
      </c>
      <c r="BE129" s="76">
        <v>2700</v>
      </c>
      <c r="BF129" s="76">
        <v>100000</v>
      </c>
      <c r="BG129" s="76" t="s">
        <v>211</v>
      </c>
    </row>
    <row r="130" spans="1:59">
      <c r="A130" s="66"/>
      <c r="B130" s="66"/>
      <c r="C130" s="74"/>
      <c r="D130" s="74"/>
      <c r="E130" s="66"/>
      <c r="F130" s="66"/>
      <c r="G130" s="66"/>
      <c r="H130" s="66"/>
      <c r="I130" s="66"/>
      <c r="J130" s="66"/>
      <c r="K130" s="66"/>
      <c r="L130" s="74"/>
      <c r="M130" s="75">
        <v>131</v>
      </c>
      <c r="N130" s="72" t="s">
        <v>120</v>
      </c>
      <c r="O130" s="72" t="s">
        <v>692</v>
      </c>
      <c r="P130" s="72" t="s">
        <v>301</v>
      </c>
      <c r="Q130" s="72" t="s">
        <v>404</v>
      </c>
      <c r="R130" s="72" t="s">
        <v>690</v>
      </c>
      <c r="S130" s="72">
        <v>5</v>
      </c>
      <c r="T130" s="72">
        <v>400</v>
      </c>
      <c r="U130" s="72">
        <v>4000</v>
      </c>
      <c r="V130" s="72">
        <v>15000</v>
      </c>
      <c r="W130" s="72" t="s">
        <v>270</v>
      </c>
      <c r="X130" s="74" t="s">
        <v>200</v>
      </c>
      <c r="Y130" s="72">
        <v>129</v>
      </c>
      <c r="Z130" s="248" t="s">
        <v>200</v>
      </c>
      <c r="AA130" s="248"/>
      <c r="AB130" s="248" t="s">
        <v>200</v>
      </c>
      <c r="AC130" s="248" t="s">
        <v>200</v>
      </c>
      <c r="AD130" s="248" t="s">
        <v>200</v>
      </c>
      <c r="AE130" s="248" t="s">
        <v>200</v>
      </c>
      <c r="AF130" s="248" t="s">
        <v>200</v>
      </c>
      <c r="AG130" s="248" t="s">
        <v>200</v>
      </c>
      <c r="AH130" s="248" t="s">
        <v>200</v>
      </c>
      <c r="AI130" s="248"/>
      <c r="AJ130" s="74" t="s">
        <v>200</v>
      </c>
      <c r="AK130" s="72">
        <v>132</v>
      </c>
      <c r="AL130" s="248" t="s">
        <v>200</v>
      </c>
      <c r="AM130" s="248"/>
      <c r="AN130" s="248" t="s">
        <v>200</v>
      </c>
      <c r="AO130" s="248" t="s">
        <v>200</v>
      </c>
      <c r="AP130" s="248" t="s">
        <v>200</v>
      </c>
      <c r="AQ130" s="248" t="s">
        <v>200</v>
      </c>
      <c r="AR130" s="248" t="s">
        <v>200</v>
      </c>
      <c r="AS130" s="248" t="s">
        <v>200</v>
      </c>
      <c r="AT130" s="248" t="s">
        <v>200</v>
      </c>
      <c r="AU130" s="248"/>
      <c r="AV130" s="74" t="s">
        <v>200</v>
      </c>
      <c r="AW130" s="75">
        <v>132</v>
      </c>
      <c r="AX130" s="76" t="s">
        <v>126</v>
      </c>
      <c r="AY130" s="76" t="s">
        <v>822</v>
      </c>
      <c r="AZ130" s="76" t="s">
        <v>381</v>
      </c>
      <c r="BA130" s="76" t="s">
        <v>213</v>
      </c>
      <c r="BB130" s="76">
        <v>290</v>
      </c>
      <c r="BC130" s="76">
        <v>63</v>
      </c>
      <c r="BD130" s="76">
        <v>10500</v>
      </c>
      <c r="BE130" s="76">
        <v>4000</v>
      </c>
      <c r="BF130" s="76">
        <v>75000</v>
      </c>
      <c r="BG130" s="76" t="s">
        <v>270</v>
      </c>
    </row>
    <row r="131" spans="1:59">
      <c r="A131" s="66"/>
      <c r="B131" s="66"/>
      <c r="C131" s="74"/>
      <c r="D131" s="74"/>
      <c r="E131" s="66"/>
      <c r="F131" s="66"/>
      <c r="G131" s="66"/>
      <c r="H131" s="66"/>
      <c r="I131" s="66"/>
      <c r="J131" s="66"/>
      <c r="K131" s="66"/>
      <c r="L131" s="74"/>
      <c r="M131" s="75">
        <v>132</v>
      </c>
      <c r="N131" s="72" t="s">
        <v>120</v>
      </c>
      <c r="O131" s="72" t="s">
        <v>694</v>
      </c>
      <c r="P131" s="72" t="s">
        <v>301</v>
      </c>
      <c r="Q131" s="72" t="s">
        <v>404</v>
      </c>
      <c r="R131" s="72" t="s">
        <v>690</v>
      </c>
      <c r="S131" s="72">
        <v>5</v>
      </c>
      <c r="T131" s="72">
        <v>400</v>
      </c>
      <c r="U131" s="72">
        <v>6500</v>
      </c>
      <c r="V131" s="72">
        <v>15000</v>
      </c>
      <c r="W131" s="72" t="s">
        <v>270</v>
      </c>
      <c r="X131" s="74" t="s">
        <v>200</v>
      </c>
      <c r="Y131" s="72">
        <v>130</v>
      </c>
      <c r="Z131" s="248" t="s">
        <v>200</v>
      </c>
      <c r="AA131" s="248"/>
      <c r="AB131" s="248" t="s">
        <v>200</v>
      </c>
      <c r="AC131" s="248" t="s">
        <v>200</v>
      </c>
      <c r="AD131" s="248" t="s">
        <v>200</v>
      </c>
      <c r="AE131" s="248" t="s">
        <v>200</v>
      </c>
      <c r="AF131" s="248" t="s">
        <v>200</v>
      </c>
      <c r="AG131" s="248" t="s">
        <v>200</v>
      </c>
      <c r="AH131" s="248" t="s">
        <v>200</v>
      </c>
      <c r="AI131" s="248"/>
      <c r="AJ131" s="74" t="s">
        <v>200</v>
      </c>
      <c r="AK131" s="72">
        <v>133</v>
      </c>
      <c r="AL131" s="248" t="s">
        <v>200</v>
      </c>
      <c r="AM131" s="248"/>
      <c r="AN131" s="248" t="s">
        <v>200</v>
      </c>
      <c r="AO131" s="248" t="s">
        <v>200</v>
      </c>
      <c r="AP131" s="248" t="s">
        <v>200</v>
      </c>
      <c r="AQ131" s="248" t="s">
        <v>200</v>
      </c>
      <c r="AR131" s="248" t="s">
        <v>200</v>
      </c>
      <c r="AS131" s="248" t="s">
        <v>200</v>
      </c>
      <c r="AT131" s="248" t="s">
        <v>200</v>
      </c>
      <c r="AU131" s="248"/>
      <c r="AV131" s="74" t="s">
        <v>200</v>
      </c>
      <c r="AW131" s="75">
        <v>133</v>
      </c>
      <c r="AX131" s="76" t="s">
        <v>126</v>
      </c>
      <c r="AY131" s="76" t="s">
        <v>823</v>
      </c>
      <c r="AZ131" s="76" t="s">
        <v>381</v>
      </c>
      <c r="BA131" s="76" t="s">
        <v>213</v>
      </c>
      <c r="BB131" s="76">
        <v>290</v>
      </c>
      <c r="BC131" s="76">
        <v>88</v>
      </c>
      <c r="BD131" s="76">
        <v>15000</v>
      </c>
      <c r="BE131" s="76">
        <v>4000</v>
      </c>
      <c r="BF131" s="76">
        <v>75000</v>
      </c>
      <c r="BG131" s="76" t="s">
        <v>270</v>
      </c>
    </row>
    <row r="132" spans="1:59">
      <c r="A132" s="66"/>
      <c r="B132" s="66"/>
      <c r="C132" s="74"/>
      <c r="D132" s="74"/>
      <c r="E132" s="66"/>
      <c r="F132" s="66"/>
      <c r="G132" s="66"/>
      <c r="H132" s="66"/>
      <c r="I132" s="66"/>
      <c r="J132" s="66"/>
      <c r="K132" s="66"/>
      <c r="L132" s="74"/>
      <c r="M132" s="75">
        <v>133</v>
      </c>
      <c r="N132" s="72" t="s">
        <v>120</v>
      </c>
      <c r="O132" s="72" t="s">
        <v>695</v>
      </c>
      <c r="P132" s="72" t="s">
        <v>301</v>
      </c>
      <c r="Q132" s="72" t="s">
        <v>696</v>
      </c>
      <c r="R132" s="72" t="s">
        <v>697</v>
      </c>
      <c r="S132" s="72">
        <v>8</v>
      </c>
      <c r="T132" s="72">
        <v>605</v>
      </c>
      <c r="U132" s="72">
        <v>2700</v>
      </c>
      <c r="V132" s="72">
        <v>25000</v>
      </c>
      <c r="W132" s="72" t="s">
        <v>270</v>
      </c>
      <c r="X132" s="74" t="s">
        <v>200</v>
      </c>
      <c r="Y132" s="72">
        <v>131</v>
      </c>
      <c r="Z132" s="248" t="s">
        <v>200</v>
      </c>
      <c r="AA132" s="248"/>
      <c r="AB132" s="248" t="s">
        <v>200</v>
      </c>
      <c r="AC132" s="248" t="s">
        <v>200</v>
      </c>
      <c r="AD132" s="248" t="s">
        <v>200</v>
      </c>
      <c r="AE132" s="248" t="s">
        <v>200</v>
      </c>
      <c r="AF132" s="248" t="s">
        <v>200</v>
      </c>
      <c r="AG132" s="248" t="s">
        <v>200</v>
      </c>
      <c r="AH132" s="248" t="s">
        <v>200</v>
      </c>
      <c r="AI132" s="248"/>
      <c r="AJ132" s="74" t="s">
        <v>200</v>
      </c>
      <c r="AK132" s="72">
        <v>134</v>
      </c>
      <c r="AL132" s="248" t="s">
        <v>200</v>
      </c>
      <c r="AM132" s="248"/>
      <c r="AN132" s="248" t="s">
        <v>200</v>
      </c>
      <c r="AO132" s="248" t="s">
        <v>200</v>
      </c>
      <c r="AP132" s="248" t="s">
        <v>200</v>
      </c>
      <c r="AQ132" s="248" t="s">
        <v>200</v>
      </c>
      <c r="AR132" s="248" t="s">
        <v>200</v>
      </c>
      <c r="AS132" s="248" t="s">
        <v>200</v>
      </c>
      <c r="AT132" s="248" t="s">
        <v>200</v>
      </c>
      <c r="AU132" s="248"/>
      <c r="AV132" s="74" t="s">
        <v>200</v>
      </c>
      <c r="AW132" s="75">
        <v>134</v>
      </c>
      <c r="AX132" s="76" t="s">
        <v>126</v>
      </c>
      <c r="AY132" s="76" t="s">
        <v>824</v>
      </c>
      <c r="AZ132" s="76" t="s">
        <v>381</v>
      </c>
      <c r="BA132" s="76" t="s">
        <v>213</v>
      </c>
      <c r="BB132" s="76">
        <v>330</v>
      </c>
      <c r="BC132" s="76">
        <v>121</v>
      </c>
      <c r="BD132" s="76">
        <v>20500</v>
      </c>
      <c r="BE132" s="76">
        <v>4000</v>
      </c>
      <c r="BF132" s="76">
        <v>75000</v>
      </c>
      <c r="BG132" s="76" t="s">
        <v>270</v>
      </c>
    </row>
    <row r="133" spans="1:59">
      <c r="A133" s="66"/>
      <c r="B133" s="66"/>
      <c r="C133" s="74"/>
      <c r="D133" s="74"/>
      <c r="E133" s="66"/>
      <c r="F133" s="66"/>
      <c r="G133" s="66"/>
      <c r="H133" s="66"/>
      <c r="I133" s="66"/>
      <c r="J133" s="66"/>
      <c r="K133" s="66"/>
      <c r="L133" s="74"/>
      <c r="M133" s="75">
        <v>134</v>
      </c>
      <c r="N133" s="72" t="s">
        <v>120</v>
      </c>
      <c r="O133" s="72" t="s">
        <v>698</v>
      </c>
      <c r="P133" s="72" t="s">
        <v>301</v>
      </c>
      <c r="Q133" s="72" t="s">
        <v>404</v>
      </c>
      <c r="R133" s="72" t="s">
        <v>699</v>
      </c>
      <c r="S133" s="72">
        <v>5.5</v>
      </c>
      <c r="T133" s="72">
        <v>380</v>
      </c>
      <c r="U133" s="72">
        <v>2700</v>
      </c>
      <c r="V133" s="72">
        <v>25000</v>
      </c>
      <c r="W133" s="72" t="s">
        <v>270</v>
      </c>
      <c r="X133" s="74" t="s">
        <v>200</v>
      </c>
      <c r="Y133" s="72">
        <v>132</v>
      </c>
      <c r="Z133" s="248" t="s">
        <v>200</v>
      </c>
      <c r="AA133" s="248"/>
      <c r="AB133" s="248" t="s">
        <v>200</v>
      </c>
      <c r="AC133" s="248" t="s">
        <v>200</v>
      </c>
      <c r="AD133" s="248" t="s">
        <v>200</v>
      </c>
      <c r="AE133" s="248" t="s">
        <v>200</v>
      </c>
      <c r="AF133" s="248" t="s">
        <v>200</v>
      </c>
      <c r="AG133" s="248" t="s">
        <v>200</v>
      </c>
      <c r="AH133" s="248" t="s">
        <v>200</v>
      </c>
      <c r="AI133" s="248"/>
      <c r="AJ133" s="74" t="s">
        <v>200</v>
      </c>
      <c r="AK133" s="72">
        <v>135</v>
      </c>
      <c r="AL133" s="248" t="s">
        <v>200</v>
      </c>
      <c r="AM133" s="248"/>
      <c r="AN133" s="248" t="s">
        <v>200</v>
      </c>
      <c r="AO133" s="248" t="s">
        <v>200</v>
      </c>
      <c r="AP133" s="248" t="s">
        <v>200</v>
      </c>
      <c r="AQ133" s="248" t="s">
        <v>200</v>
      </c>
      <c r="AR133" s="248" t="s">
        <v>200</v>
      </c>
      <c r="AS133" s="248" t="s">
        <v>200</v>
      </c>
      <c r="AT133" s="248" t="s">
        <v>200</v>
      </c>
      <c r="AU133" s="248"/>
      <c r="AV133" s="74" t="s">
        <v>200</v>
      </c>
      <c r="AW133" s="75">
        <v>135</v>
      </c>
      <c r="AX133" s="76" t="s">
        <v>126</v>
      </c>
      <c r="AY133" s="76" t="s">
        <v>825</v>
      </c>
      <c r="AZ133" s="76" t="s">
        <v>381</v>
      </c>
      <c r="BA133" s="76" t="s">
        <v>213</v>
      </c>
      <c r="BB133" s="76">
        <v>393</v>
      </c>
      <c r="BC133" s="76">
        <v>144</v>
      </c>
      <c r="BD133" s="76">
        <v>25000</v>
      </c>
      <c r="BE133" s="76">
        <v>4000</v>
      </c>
      <c r="BF133" s="76">
        <v>75000</v>
      </c>
      <c r="BG133" s="76" t="s">
        <v>270</v>
      </c>
    </row>
    <row r="134" spans="1:59">
      <c r="A134" s="66"/>
      <c r="B134" s="66"/>
      <c r="C134" s="74"/>
      <c r="D134" s="74"/>
      <c r="E134" s="66"/>
      <c r="F134" s="66"/>
      <c r="G134" s="66"/>
      <c r="H134" s="66"/>
      <c r="I134" s="66"/>
      <c r="J134" s="66"/>
      <c r="K134" s="66"/>
      <c r="L134" s="74"/>
      <c r="M134" s="75">
        <v>135</v>
      </c>
      <c r="N134" s="72" t="s">
        <v>120</v>
      </c>
      <c r="O134" s="72" t="s">
        <v>700</v>
      </c>
      <c r="P134" s="72" t="s">
        <v>301</v>
      </c>
      <c r="Q134" s="72" t="s">
        <v>404</v>
      </c>
      <c r="R134" s="72" t="s">
        <v>701</v>
      </c>
      <c r="S134" s="72">
        <v>7</v>
      </c>
      <c r="T134" s="72">
        <v>630</v>
      </c>
      <c r="U134" s="72">
        <v>2700</v>
      </c>
      <c r="V134" s="72">
        <v>15000</v>
      </c>
      <c r="W134" s="72" t="s">
        <v>270</v>
      </c>
      <c r="X134" s="74" t="s">
        <v>200</v>
      </c>
      <c r="Y134" s="72">
        <v>133</v>
      </c>
      <c r="Z134" s="248" t="s">
        <v>200</v>
      </c>
      <c r="AA134" s="248"/>
      <c r="AB134" s="248" t="s">
        <v>200</v>
      </c>
      <c r="AC134" s="248" t="s">
        <v>200</v>
      </c>
      <c r="AD134" s="248" t="s">
        <v>200</v>
      </c>
      <c r="AE134" s="248" t="s">
        <v>200</v>
      </c>
      <c r="AF134" s="248" t="s">
        <v>200</v>
      </c>
      <c r="AG134" s="248" t="s">
        <v>200</v>
      </c>
      <c r="AH134" s="248" t="s">
        <v>200</v>
      </c>
      <c r="AI134" s="248"/>
      <c r="AJ134" s="74" t="s">
        <v>200</v>
      </c>
      <c r="AK134" s="72">
        <v>136</v>
      </c>
      <c r="AL134" s="248" t="s">
        <v>200</v>
      </c>
      <c r="AM134" s="248"/>
      <c r="AN134" s="248" t="s">
        <v>200</v>
      </c>
      <c r="AO134" s="248" t="s">
        <v>200</v>
      </c>
      <c r="AP134" s="248" t="s">
        <v>200</v>
      </c>
      <c r="AQ134" s="248" t="s">
        <v>200</v>
      </c>
      <c r="AR134" s="248" t="s">
        <v>200</v>
      </c>
      <c r="AS134" s="248" t="s">
        <v>200</v>
      </c>
      <c r="AT134" s="248" t="s">
        <v>200</v>
      </c>
      <c r="AU134" s="248"/>
      <c r="AV134" s="74" t="s">
        <v>200</v>
      </c>
      <c r="AW134" s="75">
        <v>136</v>
      </c>
      <c r="AX134" s="76" t="s">
        <v>126</v>
      </c>
      <c r="AY134" s="76" t="s">
        <v>826</v>
      </c>
      <c r="AZ134" s="76" t="s">
        <v>381</v>
      </c>
      <c r="BA134" s="76" t="s">
        <v>213</v>
      </c>
      <c r="BB134" s="76">
        <v>393</v>
      </c>
      <c r="BC134" s="76">
        <v>181</v>
      </c>
      <c r="BD134" s="76">
        <v>31000</v>
      </c>
      <c r="BE134" s="76">
        <v>4000</v>
      </c>
      <c r="BF134" s="76">
        <v>75000</v>
      </c>
      <c r="BG134" s="76" t="s">
        <v>270</v>
      </c>
    </row>
    <row r="135" spans="1:59">
      <c r="A135" s="66"/>
      <c r="B135" s="66"/>
      <c r="C135" s="74"/>
      <c r="D135" s="74"/>
      <c r="E135" s="66"/>
      <c r="F135" s="66"/>
      <c r="G135" s="66"/>
      <c r="H135" s="66"/>
      <c r="I135" s="66"/>
      <c r="J135" s="66"/>
      <c r="K135" s="66"/>
      <c r="L135" s="74"/>
      <c r="M135" s="75">
        <v>136</v>
      </c>
      <c r="N135" s="72" t="s">
        <v>120</v>
      </c>
      <c r="O135" s="72" t="s">
        <v>702</v>
      </c>
      <c r="P135" s="72" t="s">
        <v>301</v>
      </c>
      <c r="Q135" s="72" t="s">
        <v>404</v>
      </c>
      <c r="R135" s="72" t="s">
        <v>690</v>
      </c>
      <c r="S135" s="72">
        <v>4.5</v>
      </c>
      <c r="T135" s="72">
        <v>380</v>
      </c>
      <c r="U135" s="72">
        <v>2700</v>
      </c>
      <c r="V135" s="72">
        <v>15000</v>
      </c>
      <c r="W135" s="72" t="s">
        <v>270</v>
      </c>
      <c r="X135" s="74" t="s">
        <v>200</v>
      </c>
      <c r="Y135" s="72">
        <v>134</v>
      </c>
      <c r="Z135" s="248" t="s">
        <v>200</v>
      </c>
      <c r="AA135" s="248"/>
      <c r="AB135" s="248" t="s">
        <v>200</v>
      </c>
      <c r="AC135" s="248" t="s">
        <v>200</v>
      </c>
      <c r="AD135" s="248" t="s">
        <v>200</v>
      </c>
      <c r="AE135" s="248" t="s">
        <v>200</v>
      </c>
      <c r="AF135" s="248" t="s">
        <v>200</v>
      </c>
      <c r="AG135" s="248" t="s">
        <v>200</v>
      </c>
      <c r="AH135" s="248" t="s">
        <v>200</v>
      </c>
      <c r="AI135" s="248"/>
      <c r="AJ135" s="74" t="s">
        <v>200</v>
      </c>
      <c r="AK135" s="72">
        <v>137</v>
      </c>
      <c r="AL135" s="248" t="s">
        <v>200</v>
      </c>
      <c r="AM135" s="248"/>
      <c r="AN135" s="248" t="s">
        <v>200</v>
      </c>
      <c r="AO135" s="248" t="s">
        <v>200</v>
      </c>
      <c r="AP135" s="248" t="s">
        <v>200</v>
      </c>
      <c r="AQ135" s="248" t="s">
        <v>200</v>
      </c>
      <c r="AR135" s="248" t="s">
        <v>200</v>
      </c>
      <c r="AS135" s="248" t="s">
        <v>200</v>
      </c>
      <c r="AT135" s="248" t="s">
        <v>200</v>
      </c>
      <c r="AU135" s="248"/>
      <c r="AV135" s="74" t="s">
        <v>200</v>
      </c>
      <c r="AW135" s="75">
        <v>137</v>
      </c>
      <c r="AX135" s="76" t="s">
        <v>126</v>
      </c>
      <c r="AY135" s="76" t="s">
        <v>827</v>
      </c>
      <c r="AZ135" s="76" t="s">
        <v>381</v>
      </c>
      <c r="BA135" s="76" t="s">
        <v>213</v>
      </c>
      <c r="BB135" s="76">
        <v>290</v>
      </c>
      <c r="BC135" s="76">
        <v>63</v>
      </c>
      <c r="BD135" s="76">
        <v>10500</v>
      </c>
      <c r="BE135" s="76">
        <v>6500</v>
      </c>
      <c r="BF135" s="76">
        <v>75000</v>
      </c>
      <c r="BG135" s="76" t="s">
        <v>270</v>
      </c>
    </row>
    <row r="136" spans="1:59">
      <c r="A136" s="66"/>
      <c r="B136" s="66"/>
      <c r="C136" s="74"/>
      <c r="D136" s="74"/>
      <c r="E136" s="66"/>
      <c r="F136" s="66"/>
      <c r="G136" s="66"/>
      <c r="H136" s="66"/>
      <c r="I136" s="66"/>
      <c r="J136" s="66"/>
      <c r="K136" s="66"/>
      <c r="L136" s="74"/>
      <c r="M136" s="75">
        <v>137</v>
      </c>
      <c r="N136" s="72" t="s">
        <v>120</v>
      </c>
      <c r="O136" s="72" t="s">
        <v>703</v>
      </c>
      <c r="P136" s="72" t="s">
        <v>301</v>
      </c>
      <c r="Q136" s="72" t="s">
        <v>404</v>
      </c>
      <c r="R136" s="72" t="s">
        <v>690</v>
      </c>
      <c r="S136" s="72">
        <v>4.5</v>
      </c>
      <c r="T136" s="72">
        <v>400</v>
      </c>
      <c r="U136" s="72">
        <v>4000</v>
      </c>
      <c r="V136" s="72">
        <v>15000</v>
      </c>
      <c r="W136" s="72" t="s">
        <v>270</v>
      </c>
      <c r="X136" s="74" t="s">
        <v>200</v>
      </c>
      <c r="Y136" s="72">
        <v>135</v>
      </c>
      <c r="Z136" s="248" t="s">
        <v>200</v>
      </c>
      <c r="AA136" s="248"/>
      <c r="AB136" s="248" t="s">
        <v>200</v>
      </c>
      <c r="AC136" s="248" t="s">
        <v>200</v>
      </c>
      <c r="AD136" s="248" t="s">
        <v>200</v>
      </c>
      <c r="AE136" s="248" t="s">
        <v>200</v>
      </c>
      <c r="AF136" s="248" t="s">
        <v>200</v>
      </c>
      <c r="AG136" s="248" t="s">
        <v>200</v>
      </c>
      <c r="AH136" s="248" t="s">
        <v>200</v>
      </c>
      <c r="AI136" s="248"/>
      <c r="AJ136" s="74" t="s">
        <v>200</v>
      </c>
      <c r="AK136" s="72">
        <v>138</v>
      </c>
      <c r="AL136" s="248" t="s">
        <v>200</v>
      </c>
      <c r="AM136" s="248"/>
      <c r="AN136" s="248" t="s">
        <v>200</v>
      </c>
      <c r="AO136" s="248" t="s">
        <v>200</v>
      </c>
      <c r="AP136" s="248" t="s">
        <v>200</v>
      </c>
      <c r="AQ136" s="248" t="s">
        <v>200</v>
      </c>
      <c r="AR136" s="248" t="s">
        <v>200</v>
      </c>
      <c r="AS136" s="248" t="s">
        <v>200</v>
      </c>
      <c r="AT136" s="248" t="s">
        <v>200</v>
      </c>
      <c r="AU136" s="248"/>
      <c r="AV136" s="74" t="s">
        <v>200</v>
      </c>
      <c r="AW136" s="75">
        <v>138</v>
      </c>
      <c r="AX136" s="76" t="s">
        <v>126</v>
      </c>
      <c r="AY136" s="76" t="s">
        <v>828</v>
      </c>
      <c r="AZ136" s="76" t="s">
        <v>381</v>
      </c>
      <c r="BA136" s="76" t="s">
        <v>213</v>
      </c>
      <c r="BB136" s="76">
        <v>290</v>
      </c>
      <c r="BC136" s="76">
        <v>88</v>
      </c>
      <c r="BD136" s="76">
        <v>15000</v>
      </c>
      <c r="BE136" s="76">
        <v>6500</v>
      </c>
      <c r="BF136" s="76">
        <v>75000</v>
      </c>
      <c r="BG136" s="76" t="s">
        <v>270</v>
      </c>
    </row>
    <row r="137" spans="1:59">
      <c r="A137" s="66"/>
      <c r="B137" s="66"/>
      <c r="C137" s="74"/>
      <c r="D137" s="74"/>
      <c r="E137" s="66"/>
      <c r="F137" s="66"/>
      <c r="G137" s="66"/>
      <c r="H137" s="66"/>
      <c r="I137" s="66"/>
      <c r="J137" s="66"/>
      <c r="K137" s="66"/>
      <c r="L137" s="74"/>
      <c r="M137" s="75">
        <v>138</v>
      </c>
      <c r="N137" s="72" t="s">
        <v>120</v>
      </c>
      <c r="O137" s="72" t="s">
        <v>704</v>
      </c>
      <c r="P137" s="72" t="s">
        <v>301</v>
      </c>
      <c r="Q137" s="72" t="s">
        <v>404</v>
      </c>
      <c r="R137" s="72" t="s">
        <v>690</v>
      </c>
      <c r="S137" s="72">
        <v>4.5</v>
      </c>
      <c r="T137" s="72">
        <v>420</v>
      </c>
      <c r="U137" s="72">
        <v>6500</v>
      </c>
      <c r="V137" s="72">
        <v>15000</v>
      </c>
      <c r="W137" s="72" t="s">
        <v>270</v>
      </c>
      <c r="X137" s="74" t="s">
        <v>200</v>
      </c>
      <c r="Y137" s="72">
        <v>136</v>
      </c>
      <c r="Z137" s="248" t="s">
        <v>200</v>
      </c>
      <c r="AA137" s="248"/>
      <c r="AB137" s="248" t="s">
        <v>200</v>
      </c>
      <c r="AC137" s="248" t="s">
        <v>200</v>
      </c>
      <c r="AD137" s="248" t="s">
        <v>200</v>
      </c>
      <c r="AE137" s="248" t="s">
        <v>200</v>
      </c>
      <c r="AF137" s="248" t="s">
        <v>200</v>
      </c>
      <c r="AG137" s="248" t="s">
        <v>200</v>
      </c>
      <c r="AH137" s="248" t="s">
        <v>200</v>
      </c>
      <c r="AI137" s="248"/>
      <c r="AJ137" s="74" t="s">
        <v>200</v>
      </c>
      <c r="AK137" s="72">
        <v>139</v>
      </c>
      <c r="AL137" s="248" t="s">
        <v>200</v>
      </c>
      <c r="AM137" s="248"/>
      <c r="AN137" s="248" t="s">
        <v>200</v>
      </c>
      <c r="AO137" s="248" t="s">
        <v>200</v>
      </c>
      <c r="AP137" s="248" t="s">
        <v>200</v>
      </c>
      <c r="AQ137" s="248" t="s">
        <v>200</v>
      </c>
      <c r="AR137" s="248" t="s">
        <v>200</v>
      </c>
      <c r="AS137" s="248" t="s">
        <v>200</v>
      </c>
      <c r="AT137" s="248" t="s">
        <v>200</v>
      </c>
      <c r="AU137" s="248"/>
      <c r="AV137" s="74" t="s">
        <v>200</v>
      </c>
      <c r="AW137" s="75">
        <v>139</v>
      </c>
      <c r="AX137" s="76" t="s">
        <v>126</v>
      </c>
      <c r="AY137" s="76" t="s">
        <v>829</v>
      </c>
      <c r="AZ137" s="76" t="s">
        <v>381</v>
      </c>
      <c r="BA137" s="76" t="s">
        <v>213</v>
      </c>
      <c r="BB137" s="76">
        <v>330</v>
      </c>
      <c r="BC137" s="76">
        <v>121</v>
      </c>
      <c r="BD137" s="76">
        <v>20500</v>
      </c>
      <c r="BE137" s="76">
        <v>6500</v>
      </c>
      <c r="BF137" s="76">
        <v>75000</v>
      </c>
      <c r="BG137" s="76" t="s">
        <v>270</v>
      </c>
    </row>
    <row r="138" spans="1:59">
      <c r="A138" s="66"/>
      <c r="B138" s="66"/>
      <c r="C138" s="74"/>
      <c r="D138" s="74"/>
      <c r="E138" s="66"/>
      <c r="F138" s="66"/>
      <c r="G138" s="66"/>
      <c r="H138" s="66"/>
      <c r="I138" s="66"/>
      <c r="J138" s="66"/>
      <c r="K138" s="66"/>
      <c r="L138" s="74"/>
      <c r="M138" s="75">
        <v>139</v>
      </c>
      <c r="N138" s="72" t="s">
        <v>120</v>
      </c>
      <c r="O138" s="72" t="s">
        <v>705</v>
      </c>
      <c r="P138" s="72" t="s">
        <v>301</v>
      </c>
      <c r="Q138" s="72" t="s">
        <v>696</v>
      </c>
      <c r="R138" s="72" t="s">
        <v>706</v>
      </c>
      <c r="S138" s="72">
        <v>5.5</v>
      </c>
      <c r="T138" s="72">
        <v>500</v>
      </c>
      <c r="U138" s="72">
        <v>2700</v>
      </c>
      <c r="V138" s="72">
        <v>15000</v>
      </c>
      <c r="W138" s="72" t="s">
        <v>270</v>
      </c>
      <c r="X138" s="74" t="s">
        <v>200</v>
      </c>
      <c r="Y138" s="72">
        <v>137</v>
      </c>
      <c r="Z138" s="248" t="s">
        <v>200</v>
      </c>
      <c r="AA138" s="248"/>
      <c r="AB138" s="248" t="s">
        <v>200</v>
      </c>
      <c r="AC138" s="248" t="s">
        <v>200</v>
      </c>
      <c r="AD138" s="248" t="s">
        <v>200</v>
      </c>
      <c r="AE138" s="248" t="s">
        <v>200</v>
      </c>
      <c r="AF138" s="248" t="s">
        <v>200</v>
      </c>
      <c r="AG138" s="248" t="s">
        <v>200</v>
      </c>
      <c r="AH138" s="248" t="s">
        <v>200</v>
      </c>
      <c r="AI138" s="248"/>
      <c r="AJ138" s="74" t="s">
        <v>200</v>
      </c>
      <c r="AK138" s="72">
        <v>140</v>
      </c>
      <c r="AL138" s="248" t="s">
        <v>200</v>
      </c>
      <c r="AM138" s="248"/>
      <c r="AN138" s="248" t="s">
        <v>200</v>
      </c>
      <c r="AO138" s="248" t="s">
        <v>200</v>
      </c>
      <c r="AP138" s="248" t="s">
        <v>200</v>
      </c>
      <c r="AQ138" s="248" t="s">
        <v>200</v>
      </c>
      <c r="AR138" s="248" t="s">
        <v>200</v>
      </c>
      <c r="AS138" s="248" t="s">
        <v>200</v>
      </c>
      <c r="AT138" s="248" t="s">
        <v>200</v>
      </c>
      <c r="AU138" s="248"/>
      <c r="AV138" s="74" t="s">
        <v>200</v>
      </c>
      <c r="AW138" s="75">
        <v>140</v>
      </c>
      <c r="AX138" s="76" t="s">
        <v>126</v>
      </c>
      <c r="AY138" s="76" t="s">
        <v>830</v>
      </c>
      <c r="AZ138" s="76" t="s">
        <v>381</v>
      </c>
      <c r="BA138" s="76" t="s">
        <v>213</v>
      </c>
      <c r="BB138" s="76">
        <v>393</v>
      </c>
      <c r="BC138" s="76">
        <v>144</v>
      </c>
      <c r="BD138" s="76">
        <v>25000</v>
      </c>
      <c r="BE138" s="76">
        <v>6500</v>
      </c>
      <c r="BF138" s="76">
        <v>75000</v>
      </c>
      <c r="BG138" s="76" t="s">
        <v>270</v>
      </c>
    </row>
    <row r="139" spans="1:59">
      <c r="A139" s="66"/>
      <c r="B139" s="66"/>
      <c r="C139" s="74"/>
      <c r="D139" s="74"/>
      <c r="E139" s="66"/>
      <c r="F139" s="66"/>
      <c r="G139" s="66"/>
      <c r="H139" s="66"/>
      <c r="I139" s="66"/>
      <c r="J139" s="66"/>
      <c r="K139" s="66"/>
      <c r="L139" s="74"/>
      <c r="M139" s="75">
        <v>140</v>
      </c>
      <c r="N139" s="72" t="s">
        <v>135</v>
      </c>
      <c r="O139" s="72" t="s">
        <v>707</v>
      </c>
      <c r="P139" s="72" t="s">
        <v>301</v>
      </c>
      <c r="Q139" s="72" t="s">
        <v>104</v>
      </c>
      <c r="R139" s="72" t="s">
        <v>708</v>
      </c>
      <c r="S139" s="72">
        <v>18</v>
      </c>
      <c r="T139" s="72">
        <v>2070</v>
      </c>
      <c r="U139" s="72">
        <v>2700</v>
      </c>
      <c r="V139" s="72">
        <v>20000</v>
      </c>
      <c r="W139" s="72" t="s">
        <v>204</v>
      </c>
      <c r="X139" s="74" t="s">
        <v>200</v>
      </c>
      <c r="Y139" s="72">
        <v>138</v>
      </c>
      <c r="Z139" s="248" t="s">
        <v>200</v>
      </c>
      <c r="AA139" s="248"/>
      <c r="AB139" s="248" t="s">
        <v>200</v>
      </c>
      <c r="AC139" s="248" t="s">
        <v>200</v>
      </c>
      <c r="AD139" s="248" t="s">
        <v>200</v>
      </c>
      <c r="AE139" s="248" t="s">
        <v>200</v>
      </c>
      <c r="AF139" s="248" t="s">
        <v>200</v>
      </c>
      <c r="AG139" s="248" t="s">
        <v>200</v>
      </c>
      <c r="AH139" s="248" t="s">
        <v>200</v>
      </c>
      <c r="AI139" s="248"/>
      <c r="AJ139" s="74" t="s">
        <v>200</v>
      </c>
      <c r="AK139" s="72">
        <v>141</v>
      </c>
      <c r="AL139" s="248" t="s">
        <v>200</v>
      </c>
      <c r="AM139" s="248"/>
      <c r="AN139" s="248" t="s">
        <v>200</v>
      </c>
      <c r="AO139" s="248" t="s">
        <v>200</v>
      </c>
      <c r="AP139" s="248" t="s">
        <v>200</v>
      </c>
      <c r="AQ139" s="248" t="s">
        <v>200</v>
      </c>
      <c r="AR139" s="248" t="s">
        <v>200</v>
      </c>
      <c r="AS139" s="248" t="s">
        <v>200</v>
      </c>
      <c r="AT139" s="248" t="s">
        <v>200</v>
      </c>
      <c r="AU139" s="248"/>
      <c r="AV139" s="74" t="s">
        <v>200</v>
      </c>
      <c r="AW139" s="75">
        <v>141</v>
      </c>
      <c r="AX139" s="76" t="s">
        <v>126</v>
      </c>
      <c r="AY139" s="76" t="s">
        <v>831</v>
      </c>
      <c r="AZ139" s="76" t="s">
        <v>381</v>
      </c>
      <c r="BA139" s="76" t="s">
        <v>213</v>
      </c>
      <c r="BB139" s="76">
        <v>393</v>
      </c>
      <c r="BC139" s="76">
        <v>181</v>
      </c>
      <c r="BD139" s="76">
        <v>31000</v>
      </c>
      <c r="BE139" s="76">
        <v>6500</v>
      </c>
      <c r="BF139" s="76">
        <v>75000</v>
      </c>
      <c r="BG139" s="76" t="s">
        <v>270</v>
      </c>
    </row>
    <row r="140" spans="1:59">
      <c r="A140" s="66"/>
      <c r="B140" s="66"/>
      <c r="C140" s="74"/>
      <c r="D140" s="74"/>
      <c r="E140" s="66"/>
      <c r="F140" s="66"/>
      <c r="G140" s="66"/>
      <c r="H140" s="66"/>
      <c r="I140" s="66"/>
      <c r="J140" s="66"/>
      <c r="K140" s="66"/>
      <c r="L140" s="74"/>
      <c r="M140" s="75">
        <v>141</v>
      </c>
      <c r="N140" s="72" t="s">
        <v>135</v>
      </c>
      <c r="O140" s="72" t="s">
        <v>709</v>
      </c>
      <c r="P140" s="72" t="s">
        <v>301</v>
      </c>
      <c r="Q140" s="72" t="s">
        <v>104</v>
      </c>
      <c r="R140" s="72" t="s">
        <v>708</v>
      </c>
      <c r="S140" s="72">
        <v>18</v>
      </c>
      <c r="T140" s="72">
        <v>2070</v>
      </c>
      <c r="U140" s="72">
        <v>6500</v>
      </c>
      <c r="V140" s="72">
        <v>20000</v>
      </c>
      <c r="W140" s="72" t="s">
        <v>204</v>
      </c>
      <c r="X140" s="74" t="s">
        <v>200</v>
      </c>
      <c r="Y140" s="72">
        <v>139</v>
      </c>
      <c r="Z140" s="248" t="s">
        <v>200</v>
      </c>
      <c r="AA140" s="248"/>
      <c r="AB140" s="248" t="s">
        <v>200</v>
      </c>
      <c r="AC140" s="248" t="s">
        <v>200</v>
      </c>
      <c r="AD140" s="248" t="s">
        <v>200</v>
      </c>
      <c r="AE140" s="248" t="s">
        <v>200</v>
      </c>
      <c r="AF140" s="248" t="s">
        <v>200</v>
      </c>
      <c r="AG140" s="248" t="s">
        <v>200</v>
      </c>
      <c r="AH140" s="248" t="s">
        <v>200</v>
      </c>
      <c r="AI140" s="248"/>
      <c r="AJ140" s="74" t="s">
        <v>200</v>
      </c>
      <c r="AK140" s="72">
        <v>142</v>
      </c>
      <c r="AL140" s="248" t="s">
        <v>200</v>
      </c>
      <c r="AM140" s="248"/>
      <c r="AN140" s="248" t="s">
        <v>200</v>
      </c>
      <c r="AO140" s="248" t="s">
        <v>200</v>
      </c>
      <c r="AP140" s="248" t="s">
        <v>200</v>
      </c>
      <c r="AQ140" s="248" t="s">
        <v>200</v>
      </c>
      <c r="AR140" s="248" t="s">
        <v>200</v>
      </c>
      <c r="AS140" s="248" t="s">
        <v>200</v>
      </c>
      <c r="AT140" s="248" t="s">
        <v>200</v>
      </c>
      <c r="AU140" s="248"/>
      <c r="AV140" s="74" t="s">
        <v>200</v>
      </c>
      <c r="AW140" s="75">
        <v>142</v>
      </c>
      <c r="AX140" s="76" t="s">
        <v>139</v>
      </c>
      <c r="AY140" s="76" t="s">
        <v>832</v>
      </c>
      <c r="AZ140" s="76" t="s">
        <v>381</v>
      </c>
      <c r="BA140" s="76" t="s">
        <v>712</v>
      </c>
      <c r="BB140" s="76" t="s">
        <v>713</v>
      </c>
      <c r="BC140" s="76">
        <v>50</v>
      </c>
      <c r="BD140" s="76">
        <v>6000</v>
      </c>
      <c r="BE140" s="76">
        <v>3000</v>
      </c>
      <c r="BF140" s="76">
        <v>50000</v>
      </c>
      <c r="BG140" s="76" t="s">
        <v>270</v>
      </c>
    </row>
    <row r="141" spans="1:59">
      <c r="A141" s="66"/>
      <c r="B141" s="66"/>
      <c r="C141" s="74"/>
      <c r="D141" s="74"/>
      <c r="E141" s="66"/>
      <c r="F141" s="66"/>
      <c r="G141" s="66"/>
      <c r="H141" s="66"/>
      <c r="I141" s="66"/>
      <c r="J141" s="66"/>
      <c r="K141" s="66"/>
      <c r="L141" s="74"/>
      <c r="M141" s="75">
        <v>142</v>
      </c>
      <c r="N141" s="72" t="s">
        <v>135</v>
      </c>
      <c r="O141" s="72" t="s">
        <v>710</v>
      </c>
      <c r="P141" s="72" t="s">
        <v>301</v>
      </c>
      <c r="Q141" s="72" t="s">
        <v>104</v>
      </c>
      <c r="R141" s="72" t="s">
        <v>711</v>
      </c>
      <c r="S141" s="72">
        <v>27</v>
      </c>
      <c r="T141" s="72">
        <v>3105</v>
      </c>
      <c r="U141" s="72">
        <v>2700</v>
      </c>
      <c r="V141" s="72">
        <v>20000</v>
      </c>
      <c r="W141" s="72" t="s">
        <v>204</v>
      </c>
      <c r="X141" s="74" t="s">
        <v>200</v>
      </c>
      <c r="Y141" s="72">
        <v>140</v>
      </c>
      <c r="Z141" s="248" t="s">
        <v>200</v>
      </c>
      <c r="AA141" s="248"/>
      <c r="AB141" s="248" t="s">
        <v>200</v>
      </c>
      <c r="AC141" s="248" t="s">
        <v>200</v>
      </c>
      <c r="AD141" s="248" t="s">
        <v>200</v>
      </c>
      <c r="AE141" s="248" t="s">
        <v>200</v>
      </c>
      <c r="AF141" s="248" t="s">
        <v>200</v>
      </c>
      <c r="AG141" s="248" t="s">
        <v>200</v>
      </c>
      <c r="AH141" s="248" t="s">
        <v>200</v>
      </c>
      <c r="AI141" s="248"/>
      <c r="AJ141" s="74" t="s">
        <v>200</v>
      </c>
      <c r="AK141" s="72">
        <v>143</v>
      </c>
      <c r="AL141" s="248" t="s">
        <v>200</v>
      </c>
      <c r="AM141" s="248"/>
      <c r="AN141" s="248" t="s">
        <v>200</v>
      </c>
      <c r="AO141" s="248" t="s">
        <v>200</v>
      </c>
      <c r="AP141" s="248" t="s">
        <v>200</v>
      </c>
      <c r="AQ141" s="248" t="s">
        <v>200</v>
      </c>
      <c r="AR141" s="248" t="s">
        <v>200</v>
      </c>
      <c r="AS141" s="248" t="s">
        <v>200</v>
      </c>
      <c r="AT141" s="248" t="s">
        <v>200</v>
      </c>
      <c r="AU141" s="248"/>
      <c r="AV141" s="74" t="s">
        <v>200</v>
      </c>
      <c r="AW141" s="75">
        <v>143</v>
      </c>
      <c r="AX141" s="76" t="s">
        <v>139</v>
      </c>
      <c r="AY141" s="76" t="s">
        <v>833</v>
      </c>
      <c r="AZ141" s="76" t="s">
        <v>381</v>
      </c>
      <c r="BA141" s="76" t="s">
        <v>712</v>
      </c>
      <c r="BB141" s="76" t="s">
        <v>715</v>
      </c>
      <c r="BC141" s="76">
        <v>100</v>
      </c>
      <c r="BD141" s="76">
        <v>12000</v>
      </c>
      <c r="BE141" s="76">
        <v>3000</v>
      </c>
      <c r="BF141" s="76">
        <v>50000</v>
      </c>
      <c r="BG141" s="76" t="s">
        <v>270</v>
      </c>
    </row>
    <row r="142" spans="1:59">
      <c r="A142" s="74"/>
      <c r="B142" s="74"/>
      <c r="C142" s="74"/>
      <c r="D142" s="74"/>
      <c r="E142" s="74"/>
      <c r="F142" s="74"/>
      <c r="G142" s="74"/>
      <c r="H142" s="74"/>
      <c r="I142" s="74"/>
      <c r="J142" s="74"/>
      <c r="K142" s="74"/>
      <c r="L142" s="74"/>
      <c r="M142" s="75">
        <v>143</v>
      </c>
      <c r="N142" s="72" t="s">
        <v>135</v>
      </c>
      <c r="O142" s="72" t="s">
        <v>714</v>
      </c>
      <c r="P142" s="72" t="s">
        <v>301</v>
      </c>
      <c r="Q142" s="72" t="s">
        <v>104</v>
      </c>
      <c r="R142" s="72" t="s">
        <v>711</v>
      </c>
      <c r="S142" s="72">
        <v>27</v>
      </c>
      <c r="T142" s="72">
        <v>3105</v>
      </c>
      <c r="U142" s="72">
        <v>6500</v>
      </c>
      <c r="V142" s="72">
        <v>20000</v>
      </c>
      <c r="W142" s="72" t="s">
        <v>204</v>
      </c>
      <c r="X142" s="74" t="s">
        <v>200</v>
      </c>
      <c r="Y142" s="72">
        <v>141</v>
      </c>
      <c r="Z142" s="248" t="s">
        <v>200</v>
      </c>
      <c r="AA142" s="248"/>
      <c r="AB142" s="248" t="s">
        <v>200</v>
      </c>
      <c r="AC142" s="248" t="s">
        <v>200</v>
      </c>
      <c r="AD142" s="248" t="s">
        <v>200</v>
      </c>
      <c r="AE142" s="248" t="s">
        <v>200</v>
      </c>
      <c r="AF142" s="248" t="s">
        <v>200</v>
      </c>
      <c r="AG142" s="248" t="s">
        <v>200</v>
      </c>
      <c r="AH142" s="248" t="s">
        <v>200</v>
      </c>
      <c r="AI142" s="248"/>
      <c r="AJ142" s="74" t="s">
        <v>200</v>
      </c>
      <c r="AK142" s="72">
        <v>144</v>
      </c>
      <c r="AL142" s="248" t="s">
        <v>200</v>
      </c>
      <c r="AM142" s="248"/>
      <c r="AN142" s="248" t="s">
        <v>200</v>
      </c>
      <c r="AO142" s="248" t="s">
        <v>200</v>
      </c>
      <c r="AP142" s="248" t="s">
        <v>200</v>
      </c>
      <c r="AQ142" s="248" t="s">
        <v>200</v>
      </c>
      <c r="AR142" s="248" t="s">
        <v>200</v>
      </c>
      <c r="AS142" s="248" t="s">
        <v>200</v>
      </c>
      <c r="AT142" s="248" t="s">
        <v>200</v>
      </c>
      <c r="AU142" s="248"/>
      <c r="AV142" s="74" t="s">
        <v>200</v>
      </c>
      <c r="AW142" s="75">
        <v>144</v>
      </c>
      <c r="AX142" s="76" t="s">
        <v>139</v>
      </c>
      <c r="AY142" s="76" t="s">
        <v>834</v>
      </c>
      <c r="AZ142" s="76" t="s">
        <v>381</v>
      </c>
      <c r="BA142" s="76" t="s">
        <v>712</v>
      </c>
      <c r="BB142" s="76" t="s">
        <v>718</v>
      </c>
      <c r="BC142" s="76">
        <v>150</v>
      </c>
      <c r="BD142" s="76">
        <v>18000</v>
      </c>
      <c r="BE142" s="76">
        <v>3000</v>
      </c>
      <c r="BF142" s="76">
        <v>50000</v>
      </c>
      <c r="BG142" s="76" t="s">
        <v>270</v>
      </c>
    </row>
    <row r="143" spans="1:59">
      <c r="A143" s="74"/>
      <c r="B143" s="74"/>
      <c r="C143" s="74"/>
      <c r="D143" s="74"/>
      <c r="E143" s="74"/>
      <c r="F143" s="74"/>
      <c r="G143" s="74"/>
      <c r="H143" s="74"/>
      <c r="I143" s="74"/>
      <c r="J143" s="74"/>
      <c r="K143" s="74"/>
      <c r="L143" s="74"/>
      <c r="M143" s="75">
        <v>144</v>
      </c>
      <c r="N143" s="72" t="s">
        <v>135</v>
      </c>
      <c r="O143" s="72" t="s">
        <v>716</v>
      </c>
      <c r="P143" s="72" t="s">
        <v>301</v>
      </c>
      <c r="Q143" s="72" t="s">
        <v>104</v>
      </c>
      <c r="R143" s="72" t="s">
        <v>717</v>
      </c>
      <c r="S143" s="72">
        <v>36</v>
      </c>
      <c r="T143" s="72">
        <v>4140</v>
      </c>
      <c r="U143" s="72">
        <v>2700</v>
      </c>
      <c r="V143" s="72">
        <v>20000</v>
      </c>
      <c r="W143" s="72" t="s">
        <v>204</v>
      </c>
      <c r="X143" s="74" t="s">
        <v>200</v>
      </c>
      <c r="Y143" s="72">
        <v>142</v>
      </c>
      <c r="Z143" s="248" t="s">
        <v>200</v>
      </c>
      <c r="AA143" s="248"/>
      <c r="AB143" s="248" t="s">
        <v>200</v>
      </c>
      <c r="AC143" s="248" t="s">
        <v>200</v>
      </c>
      <c r="AD143" s="248" t="s">
        <v>200</v>
      </c>
      <c r="AE143" s="248" t="s">
        <v>200</v>
      </c>
      <c r="AF143" s="248" t="s">
        <v>200</v>
      </c>
      <c r="AG143" s="248" t="s">
        <v>200</v>
      </c>
      <c r="AH143" s="248" t="s">
        <v>200</v>
      </c>
      <c r="AI143" s="248"/>
      <c r="AJ143" s="74" t="s">
        <v>200</v>
      </c>
      <c r="AK143" s="72">
        <v>145</v>
      </c>
      <c r="AL143" s="248" t="s">
        <v>200</v>
      </c>
      <c r="AM143" s="248"/>
      <c r="AN143" s="248" t="s">
        <v>200</v>
      </c>
      <c r="AO143" s="248" t="s">
        <v>200</v>
      </c>
      <c r="AP143" s="248" t="s">
        <v>200</v>
      </c>
      <c r="AQ143" s="248" t="s">
        <v>200</v>
      </c>
      <c r="AR143" s="248" t="s">
        <v>200</v>
      </c>
      <c r="AS143" s="248" t="s">
        <v>200</v>
      </c>
      <c r="AT143" s="248" t="s">
        <v>200</v>
      </c>
      <c r="AU143" s="248"/>
      <c r="AV143" s="74" t="s">
        <v>200</v>
      </c>
      <c r="AW143" s="75">
        <v>145</v>
      </c>
      <c r="AX143" s="76" t="s">
        <v>139</v>
      </c>
      <c r="AY143" s="76" t="s">
        <v>835</v>
      </c>
      <c r="AZ143" s="76" t="s">
        <v>381</v>
      </c>
      <c r="BA143" s="76" t="s">
        <v>712</v>
      </c>
      <c r="BB143" s="76" t="s">
        <v>720</v>
      </c>
      <c r="BC143" s="76">
        <v>200</v>
      </c>
      <c r="BD143" s="76">
        <v>24000</v>
      </c>
      <c r="BE143" s="76">
        <v>3000</v>
      </c>
      <c r="BF143" s="76">
        <v>50000</v>
      </c>
      <c r="BG143" s="76" t="s">
        <v>270</v>
      </c>
    </row>
    <row r="144" spans="1:59">
      <c r="A144" s="74"/>
      <c r="B144" s="74"/>
      <c r="C144" s="74"/>
      <c r="D144" s="74"/>
      <c r="E144" s="74"/>
      <c r="F144" s="74"/>
      <c r="G144" s="74"/>
      <c r="H144" s="74"/>
      <c r="I144" s="74"/>
      <c r="J144" s="74"/>
      <c r="K144" s="74"/>
      <c r="L144" s="74"/>
      <c r="M144" s="75">
        <v>145</v>
      </c>
      <c r="N144" s="72" t="s">
        <v>135</v>
      </c>
      <c r="O144" s="72" t="s">
        <v>719</v>
      </c>
      <c r="P144" s="72" t="s">
        <v>301</v>
      </c>
      <c r="Q144" s="72" t="s">
        <v>104</v>
      </c>
      <c r="R144" s="72" t="s">
        <v>717</v>
      </c>
      <c r="S144" s="72">
        <v>36</v>
      </c>
      <c r="T144" s="72">
        <v>4140</v>
      </c>
      <c r="U144" s="72">
        <v>6500</v>
      </c>
      <c r="V144" s="72">
        <v>20000</v>
      </c>
      <c r="W144" s="72" t="s">
        <v>204</v>
      </c>
      <c r="X144" s="74" t="s">
        <v>200</v>
      </c>
      <c r="Y144" s="72">
        <v>143</v>
      </c>
      <c r="Z144" s="248" t="s">
        <v>200</v>
      </c>
      <c r="AA144" s="248"/>
      <c r="AB144" s="248" t="s">
        <v>200</v>
      </c>
      <c r="AC144" s="248" t="s">
        <v>200</v>
      </c>
      <c r="AD144" s="248" t="s">
        <v>200</v>
      </c>
      <c r="AE144" s="248" t="s">
        <v>200</v>
      </c>
      <c r="AF144" s="248" t="s">
        <v>200</v>
      </c>
      <c r="AG144" s="248" t="s">
        <v>200</v>
      </c>
      <c r="AH144" s="248" t="s">
        <v>200</v>
      </c>
      <c r="AI144" s="248"/>
      <c r="AJ144" s="74" t="s">
        <v>200</v>
      </c>
      <c r="AK144" s="72">
        <v>146</v>
      </c>
      <c r="AL144" s="248" t="s">
        <v>200</v>
      </c>
      <c r="AM144" s="248"/>
      <c r="AN144" s="248" t="s">
        <v>200</v>
      </c>
      <c r="AO144" s="248" t="s">
        <v>200</v>
      </c>
      <c r="AP144" s="248" t="s">
        <v>200</v>
      </c>
      <c r="AQ144" s="248" t="s">
        <v>200</v>
      </c>
      <c r="AR144" s="248" t="s">
        <v>200</v>
      </c>
      <c r="AS144" s="248" t="s">
        <v>200</v>
      </c>
      <c r="AT144" s="248" t="s">
        <v>200</v>
      </c>
      <c r="AU144" s="248"/>
      <c r="AV144" s="74" t="s">
        <v>200</v>
      </c>
      <c r="AW144" s="75">
        <v>146</v>
      </c>
      <c r="AX144" s="76" t="s">
        <v>139</v>
      </c>
      <c r="AY144" s="76" t="s">
        <v>836</v>
      </c>
      <c r="AZ144" s="76" t="s">
        <v>381</v>
      </c>
      <c r="BA144" s="76" t="s">
        <v>712</v>
      </c>
      <c r="BB144" s="76" t="s">
        <v>723</v>
      </c>
      <c r="BC144" s="76">
        <v>300</v>
      </c>
      <c r="BD144" s="76">
        <v>36000</v>
      </c>
      <c r="BE144" s="76">
        <v>6500</v>
      </c>
      <c r="BF144" s="76">
        <v>50000</v>
      </c>
      <c r="BG144" s="76" t="s">
        <v>216</v>
      </c>
    </row>
    <row r="145" spans="1:59">
      <c r="A145" s="74"/>
      <c r="B145" s="74"/>
      <c r="C145" s="74"/>
      <c r="D145" s="74"/>
      <c r="E145" s="74"/>
      <c r="F145" s="74"/>
      <c r="G145" s="74"/>
      <c r="H145" s="74"/>
      <c r="I145" s="74"/>
      <c r="J145" s="74"/>
      <c r="K145" s="74"/>
      <c r="L145" s="74"/>
      <c r="M145" s="75">
        <v>146</v>
      </c>
      <c r="N145" s="72" t="s">
        <v>135</v>
      </c>
      <c r="O145" s="72" t="s">
        <v>721</v>
      </c>
      <c r="P145" s="72" t="s">
        <v>301</v>
      </c>
      <c r="Q145" s="72" t="s">
        <v>104</v>
      </c>
      <c r="R145" s="72" t="s">
        <v>722</v>
      </c>
      <c r="S145" s="72">
        <v>45</v>
      </c>
      <c r="T145" s="72">
        <v>5175</v>
      </c>
      <c r="U145" s="72">
        <v>2700</v>
      </c>
      <c r="V145" s="72">
        <v>20000</v>
      </c>
      <c r="W145" s="72" t="s">
        <v>204</v>
      </c>
      <c r="X145" s="74" t="s">
        <v>200</v>
      </c>
      <c r="Y145" s="72">
        <v>144</v>
      </c>
      <c r="Z145" s="248" t="s">
        <v>200</v>
      </c>
      <c r="AA145" s="248"/>
      <c r="AB145" s="248" t="s">
        <v>200</v>
      </c>
      <c r="AC145" s="248" t="s">
        <v>200</v>
      </c>
      <c r="AD145" s="248" t="s">
        <v>200</v>
      </c>
      <c r="AE145" s="248" t="s">
        <v>200</v>
      </c>
      <c r="AF145" s="248" t="s">
        <v>200</v>
      </c>
      <c r="AG145" s="248" t="s">
        <v>200</v>
      </c>
      <c r="AH145" s="248" t="s">
        <v>200</v>
      </c>
      <c r="AI145" s="248"/>
      <c r="AJ145" s="74" t="s">
        <v>200</v>
      </c>
      <c r="AK145" s="72">
        <v>147</v>
      </c>
      <c r="AL145" s="248" t="s">
        <v>200</v>
      </c>
      <c r="AM145" s="248"/>
      <c r="AN145" s="248" t="s">
        <v>200</v>
      </c>
      <c r="AO145" s="248" t="s">
        <v>200</v>
      </c>
      <c r="AP145" s="248" t="s">
        <v>200</v>
      </c>
      <c r="AQ145" s="248" t="s">
        <v>200</v>
      </c>
      <c r="AR145" s="248" t="s">
        <v>200</v>
      </c>
      <c r="AS145" s="248" t="s">
        <v>200</v>
      </c>
      <c r="AT145" s="248" t="s">
        <v>200</v>
      </c>
      <c r="AU145" s="248"/>
      <c r="AV145" s="74" t="s">
        <v>200</v>
      </c>
      <c r="AW145" s="75">
        <v>147</v>
      </c>
      <c r="AX145" s="76" t="s">
        <v>139</v>
      </c>
      <c r="AY145" s="76" t="s">
        <v>837</v>
      </c>
      <c r="AZ145" s="76" t="s">
        <v>381</v>
      </c>
      <c r="BA145" s="76" t="s">
        <v>712</v>
      </c>
      <c r="BB145" s="76" t="s">
        <v>725</v>
      </c>
      <c r="BC145" s="76">
        <v>400</v>
      </c>
      <c r="BD145" s="76">
        <v>48000</v>
      </c>
      <c r="BE145" s="76">
        <v>6500</v>
      </c>
      <c r="BF145" s="76">
        <v>50000</v>
      </c>
      <c r="BG145" s="76" t="s">
        <v>216</v>
      </c>
    </row>
    <row r="146" spans="1:59">
      <c r="A146" s="74"/>
      <c r="B146" s="74"/>
      <c r="C146" s="74"/>
      <c r="D146" s="74"/>
      <c r="E146" s="74"/>
      <c r="F146" s="74"/>
      <c r="G146" s="74"/>
      <c r="H146" s="74"/>
      <c r="I146" s="74"/>
      <c r="J146" s="74"/>
      <c r="K146" s="74"/>
      <c r="L146" s="74"/>
      <c r="M146" s="75">
        <v>147</v>
      </c>
      <c r="N146" s="72" t="s">
        <v>135</v>
      </c>
      <c r="O146" s="72" t="s">
        <v>724</v>
      </c>
      <c r="P146" s="72" t="s">
        <v>301</v>
      </c>
      <c r="Q146" s="72" t="s">
        <v>104</v>
      </c>
      <c r="R146" s="72" t="s">
        <v>722</v>
      </c>
      <c r="S146" s="72">
        <v>45</v>
      </c>
      <c r="T146" s="72">
        <v>5175</v>
      </c>
      <c r="U146" s="72">
        <v>6500</v>
      </c>
      <c r="V146" s="72">
        <v>20000</v>
      </c>
      <c r="W146" s="72" t="s">
        <v>204</v>
      </c>
      <c r="X146" s="74" t="s">
        <v>200</v>
      </c>
      <c r="Y146" s="72">
        <v>145</v>
      </c>
      <c r="Z146" s="248" t="s">
        <v>200</v>
      </c>
      <c r="AA146" s="248"/>
      <c r="AB146" s="248" t="s">
        <v>200</v>
      </c>
      <c r="AC146" s="248" t="s">
        <v>200</v>
      </c>
      <c r="AD146" s="248" t="s">
        <v>200</v>
      </c>
      <c r="AE146" s="248" t="s">
        <v>200</v>
      </c>
      <c r="AF146" s="248" t="s">
        <v>200</v>
      </c>
      <c r="AG146" s="248" t="s">
        <v>200</v>
      </c>
      <c r="AH146" s="248" t="s">
        <v>200</v>
      </c>
      <c r="AI146" s="248"/>
      <c r="AJ146" s="74" t="s">
        <v>200</v>
      </c>
      <c r="AK146" s="72">
        <v>148</v>
      </c>
      <c r="AL146" s="248" t="s">
        <v>200</v>
      </c>
      <c r="AM146" s="248"/>
      <c r="AN146" s="248" t="s">
        <v>200</v>
      </c>
      <c r="AO146" s="248" t="s">
        <v>200</v>
      </c>
      <c r="AP146" s="248" t="s">
        <v>200</v>
      </c>
      <c r="AQ146" s="248" t="s">
        <v>200</v>
      </c>
      <c r="AR146" s="248" t="s">
        <v>200</v>
      </c>
      <c r="AS146" s="248" t="s">
        <v>200</v>
      </c>
      <c r="AT146" s="248" t="s">
        <v>200</v>
      </c>
      <c r="AU146" s="248"/>
      <c r="AV146" s="74" t="s">
        <v>200</v>
      </c>
      <c r="AW146" s="75">
        <v>148</v>
      </c>
      <c r="AX146" s="76" t="s">
        <v>139</v>
      </c>
      <c r="AY146" s="76" t="s">
        <v>838</v>
      </c>
      <c r="AZ146" s="76" t="s">
        <v>381</v>
      </c>
      <c r="BA146" s="76" t="s">
        <v>712</v>
      </c>
      <c r="BB146" s="76" t="s">
        <v>727</v>
      </c>
      <c r="BC146" s="76">
        <v>500</v>
      </c>
      <c r="BD146" s="76">
        <v>60000</v>
      </c>
      <c r="BE146" s="76">
        <v>6500</v>
      </c>
      <c r="BF146" s="76">
        <v>50000</v>
      </c>
      <c r="BG146" s="76" t="s">
        <v>216</v>
      </c>
    </row>
    <row r="147" spans="1:59">
      <c r="A147" s="74"/>
      <c r="B147" s="74"/>
      <c r="C147" s="74"/>
      <c r="D147" s="74"/>
      <c r="E147" s="74"/>
      <c r="F147" s="74"/>
      <c r="G147" s="74"/>
      <c r="H147" s="74"/>
      <c r="I147" s="74"/>
      <c r="J147" s="74"/>
      <c r="K147" s="74"/>
      <c r="L147" s="74"/>
      <c r="M147" s="75">
        <v>148</v>
      </c>
      <c r="N147" s="72" t="s">
        <v>135</v>
      </c>
      <c r="O147" s="72" t="s">
        <v>726</v>
      </c>
      <c r="P147" s="72" t="s">
        <v>301</v>
      </c>
      <c r="Q147" s="72" t="s">
        <v>105</v>
      </c>
      <c r="R147" s="72" t="s">
        <v>722</v>
      </c>
      <c r="S147" s="72">
        <v>45</v>
      </c>
      <c r="T147" s="72">
        <v>5175</v>
      </c>
      <c r="U147" s="72">
        <v>6500</v>
      </c>
      <c r="V147" s="72">
        <v>20000</v>
      </c>
      <c r="W147" s="72" t="s">
        <v>204</v>
      </c>
      <c r="X147" s="74" t="s">
        <v>200</v>
      </c>
      <c r="Y147" s="72">
        <v>146</v>
      </c>
      <c r="Z147" s="248" t="s">
        <v>200</v>
      </c>
      <c r="AA147" s="248"/>
      <c r="AB147" s="248" t="s">
        <v>200</v>
      </c>
      <c r="AC147" s="248" t="s">
        <v>200</v>
      </c>
      <c r="AD147" s="248" t="s">
        <v>200</v>
      </c>
      <c r="AE147" s="248" t="s">
        <v>200</v>
      </c>
      <c r="AF147" s="248" t="s">
        <v>200</v>
      </c>
      <c r="AG147" s="248" t="s">
        <v>200</v>
      </c>
      <c r="AH147" s="248" t="s">
        <v>200</v>
      </c>
      <c r="AI147" s="248"/>
      <c r="AJ147" s="74" t="s">
        <v>200</v>
      </c>
      <c r="AK147" s="72">
        <v>149</v>
      </c>
      <c r="AL147" s="248" t="s">
        <v>200</v>
      </c>
      <c r="AM147" s="248"/>
      <c r="AN147" s="248" t="s">
        <v>200</v>
      </c>
      <c r="AO147" s="248" t="s">
        <v>200</v>
      </c>
      <c r="AP147" s="248" t="s">
        <v>200</v>
      </c>
      <c r="AQ147" s="248" t="s">
        <v>200</v>
      </c>
      <c r="AR147" s="248" t="s">
        <v>200</v>
      </c>
      <c r="AS147" s="248" t="s">
        <v>200</v>
      </c>
      <c r="AT147" s="248" t="s">
        <v>200</v>
      </c>
      <c r="AU147" s="248"/>
      <c r="AV147" s="74" t="s">
        <v>200</v>
      </c>
      <c r="AW147" s="75">
        <v>149</v>
      </c>
      <c r="AX147" s="222"/>
      <c r="AY147" s="222" t="s">
        <v>620</v>
      </c>
      <c r="AZ147" s="222"/>
      <c r="BA147" s="222"/>
      <c r="BB147" s="222"/>
      <c r="BC147" s="222"/>
      <c r="BD147" s="222"/>
      <c r="BE147" s="222"/>
      <c r="BF147" s="222"/>
      <c r="BG147" s="222"/>
    </row>
    <row r="148" spans="1:59">
      <c r="A148" s="74"/>
      <c r="B148" s="74"/>
      <c r="C148" s="74"/>
      <c r="D148" s="74"/>
      <c r="E148" s="74"/>
      <c r="F148" s="74"/>
      <c r="G148" s="74"/>
      <c r="H148" s="74"/>
      <c r="I148" s="74"/>
      <c r="J148" s="74"/>
      <c r="K148" s="74"/>
      <c r="L148" s="74"/>
      <c r="M148" s="75">
        <v>149</v>
      </c>
      <c r="N148" s="72" t="s">
        <v>856</v>
      </c>
      <c r="O148" s="72" t="s">
        <v>728</v>
      </c>
      <c r="P148" s="72" t="s">
        <v>301</v>
      </c>
      <c r="Q148" s="72" t="s">
        <v>104</v>
      </c>
      <c r="R148" s="72" t="s">
        <v>729</v>
      </c>
      <c r="S148" s="72">
        <v>37</v>
      </c>
      <c r="T148" s="72">
        <v>5400</v>
      </c>
      <c r="U148" s="72">
        <v>2700</v>
      </c>
      <c r="V148" s="72">
        <v>50000</v>
      </c>
      <c r="W148" s="72" t="s">
        <v>204</v>
      </c>
      <c r="X148" s="74" t="s">
        <v>200</v>
      </c>
      <c r="Y148" s="72">
        <v>147</v>
      </c>
      <c r="Z148" s="248" t="s">
        <v>200</v>
      </c>
      <c r="AA148" s="248"/>
      <c r="AB148" s="248" t="s">
        <v>200</v>
      </c>
      <c r="AC148" s="248" t="s">
        <v>200</v>
      </c>
      <c r="AD148" s="248" t="s">
        <v>200</v>
      </c>
      <c r="AE148" s="248" t="s">
        <v>200</v>
      </c>
      <c r="AF148" s="248" t="s">
        <v>200</v>
      </c>
      <c r="AG148" s="248" t="s">
        <v>200</v>
      </c>
      <c r="AH148" s="248" t="s">
        <v>200</v>
      </c>
      <c r="AI148" s="248"/>
      <c r="AJ148" s="74" t="s">
        <v>200</v>
      </c>
      <c r="AK148" s="72">
        <v>150</v>
      </c>
      <c r="AL148" s="248" t="s">
        <v>200</v>
      </c>
      <c r="AM148" s="248"/>
      <c r="AN148" s="248" t="s">
        <v>200</v>
      </c>
      <c r="AO148" s="248" t="s">
        <v>200</v>
      </c>
      <c r="AP148" s="248" t="s">
        <v>200</v>
      </c>
      <c r="AQ148" s="248" t="s">
        <v>200</v>
      </c>
      <c r="AR148" s="248" t="s">
        <v>200</v>
      </c>
      <c r="AS148" s="248" t="s">
        <v>200</v>
      </c>
      <c r="AT148" s="248" t="s">
        <v>200</v>
      </c>
      <c r="AU148" s="248"/>
      <c r="AV148" s="74" t="s">
        <v>200</v>
      </c>
      <c r="AW148" s="75">
        <v>150</v>
      </c>
      <c r="AX148" s="222"/>
      <c r="AY148" s="222" t="s">
        <v>620</v>
      </c>
      <c r="AZ148" s="222"/>
      <c r="BA148" s="222"/>
      <c r="BB148" s="222"/>
      <c r="BC148" s="222"/>
      <c r="BD148" s="222"/>
      <c r="BE148" s="222"/>
      <c r="BF148" s="222"/>
      <c r="BG148" s="222"/>
    </row>
    <row r="149" spans="1:59">
      <c r="A149" s="74"/>
      <c r="B149" s="74"/>
      <c r="C149" s="74"/>
      <c r="D149" s="74"/>
      <c r="E149" s="74"/>
      <c r="F149" s="74"/>
      <c r="G149" s="74"/>
      <c r="H149" s="74"/>
      <c r="I149" s="74"/>
      <c r="J149" s="74"/>
      <c r="K149" s="74"/>
      <c r="L149" s="74"/>
      <c r="M149" s="75">
        <v>150</v>
      </c>
      <c r="N149" s="72" t="s">
        <v>856</v>
      </c>
      <c r="O149" s="72" t="s">
        <v>730</v>
      </c>
      <c r="P149" s="72" t="s">
        <v>301</v>
      </c>
      <c r="Q149" s="72" t="s">
        <v>105</v>
      </c>
      <c r="R149" s="72" t="s">
        <v>731</v>
      </c>
      <c r="S149" s="72">
        <v>37</v>
      </c>
      <c r="T149" s="72">
        <v>5400</v>
      </c>
      <c r="U149" s="72">
        <v>2700</v>
      </c>
      <c r="V149" s="72">
        <v>50000</v>
      </c>
      <c r="W149" s="72" t="s">
        <v>204</v>
      </c>
      <c r="X149" s="74" t="s">
        <v>200</v>
      </c>
      <c r="Y149" s="72">
        <v>148</v>
      </c>
      <c r="Z149" s="248" t="s">
        <v>200</v>
      </c>
      <c r="AA149" s="248"/>
      <c r="AB149" s="248" t="s">
        <v>200</v>
      </c>
      <c r="AC149" s="248" t="s">
        <v>200</v>
      </c>
      <c r="AD149" s="248" t="s">
        <v>200</v>
      </c>
      <c r="AE149" s="248" t="s">
        <v>200</v>
      </c>
      <c r="AF149" s="248" t="s">
        <v>200</v>
      </c>
      <c r="AG149" s="248" t="s">
        <v>200</v>
      </c>
      <c r="AH149" s="248" t="s">
        <v>200</v>
      </c>
      <c r="AI149" s="248"/>
      <c r="AJ149" s="74" t="s">
        <v>200</v>
      </c>
      <c r="AK149" s="72">
        <v>151</v>
      </c>
      <c r="AL149" s="248" t="s">
        <v>200</v>
      </c>
      <c r="AM149" s="248"/>
      <c r="AN149" s="248" t="s">
        <v>200</v>
      </c>
      <c r="AO149" s="248" t="s">
        <v>200</v>
      </c>
      <c r="AP149" s="248" t="s">
        <v>200</v>
      </c>
      <c r="AQ149" s="248" t="s">
        <v>200</v>
      </c>
      <c r="AR149" s="248" t="s">
        <v>200</v>
      </c>
      <c r="AS149" s="248" t="s">
        <v>200</v>
      </c>
      <c r="AT149" s="248" t="s">
        <v>200</v>
      </c>
      <c r="AU149" s="248"/>
      <c r="AV149" s="74" t="s">
        <v>200</v>
      </c>
      <c r="AW149" s="75">
        <v>151</v>
      </c>
      <c r="AX149" s="247" t="s">
        <v>139</v>
      </c>
      <c r="AY149" s="247" t="s">
        <v>1184</v>
      </c>
      <c r="AZ149" s="247" t="s">
        <v>267</v>
      </c>
      <c r="BA149" s="247" t="s">
        <v>209</v>
      </c>
      <c r="BB149" s="247" t="s">
        <v>1185</v>
      </c>
      <c r="BC149" s="247">
        <v>400</v>
      </c>
      <c r="BD149" s="247">
        <v>48000</v>
      </c>
      <c r="BE149" s="247">
        <v>4000</v>
      </c>
      <c r="BF149" s="247">
        <v>50000</v>
      </c>
      <c r="BG149" s="248" t="s">
        <v>204</v>
      </c>
    </row>
    <row r="150" spans="1:59">
      <c r="A150" s="4"/>
      <c r="B150" s="4"/>
      <c r="C150" s="4"/>
      <c r="D150" s="4"/>
      <c r="E150" s="4"/>
      <c r="F150" s="4"/>
      <c r="G150" s="4"/>
      <c r="H150" s="4"/>
      <c r="I150" s="4"/>
      <c r="J150" s="4"/>
      <c r="K150" s="4"/>
      <c r="L150" s="74"/>
      <c r="M150" s="75">
        <v>151</v>
      </c>
      <c r="N150" s="72" t="s">
        <v>856</v>
      </c>
      <c r="O150" s="72" t="s">
        <v>732</v>
      </c>
      <c r="P150" s="72" t="s">
        <v>301</v>
      </c>
      <c r="Q150" s="72" t="s">
        <v>104</v>
      </c>
      <c r="R150" s="72" t="s">
        <v>729</v>
      </c>
      <c r="S150" s="72">
        <v>37</v>
      </c>
      <c r="T150" s="72">
        <v>6000</v>
      </c>
      <c r="U150" s="72">
        <v>4000</v>
      </c>
      <c r="V150" s="72">
        <v>50000</v>
      </c>
      <c r="W150" s="72" t="s">
        <v>204</v>
      </c>
      <c r="X150" s="74" t="s">
        <v>200</v>
      </c>
      <c r="Y150" s="72">
        <v>149</v>
      </c>
      <c r="Z150" s="248" t="s">
        <v>200</v>
      </c>
      <c r="AA150" s="248"/>
      <c r="AB150" s="248" t="s">
        <v>200</v>
      </c>
      <c r="AC150" s="248" t="s">
        <v>200</v>
      </c>
      <c r="AD150" s="248" t="s">
        <v>200</v>
      </c>
      <c r="AE150" s="248" t="s">
        <v>200</v>
      </c>
      <c r="AF150" s="248" t="s">
        <v>200</v>
      </c>
      <c r="AG150" s="248" t="s">
        <v>200</v>
      </c>
      <c r="AH150" s="248" t="s">
        <v>200</v>
      </c>
      <c r="AI150" s="248"/>
      <c r="AJ150" s="74" t="s">
        <v>200</v>
      </c>
      <c r="AK150" s="72">
        <v>152</v>
      </c>
      <c r="AL150" s="248" t="s">
        <v>200</v>
      </c>
      <c r="AM150" s="248"/>
      <c r="AN150" s="248" t="s">
        <v>200</v>
      </c>
      <c r="AO150" s="248" t="s">
        <v>200</v>
      </c>
      <c r="AP150" s="248" t="s">
        <v>200</v>
      </c>
      <c r="AQ150" s="248" t="s">
        <v>200</v>
      </c>
      <c r="AR150" s="248" t="s">
        <v>200</v>
      </c>
      <c r="AS150" s="248" t="s">
        <v>200</v>
      </c>
      <c r="AT150" s="248" t="s">
        <v>200</v>
      </c>
      <c r="AU150" s="248"/>
      <c r="AV150" s="74" t="s">
        <v>200</v>
      </c>
      <c r="AW150" s="75">
        <v>152</v>
      </c>
      <c r="AX150" s="247"/>
      <c r="AY150" s="247"/>
      <c r="AZ150" s="247"/>
      <c r="BA150" s="247"/>
      <c r="BB150" s="247"/>
      <c r="BC150" s="247"/>
      <c r="BD150" s="247"/>
      <c r="BE150" s="247"/>
      <c r="BF150" s="247"/>
      <c r="BG150" s="248"/>
    </row>
    <row r="151" spans="1:59">
      <c r="A151" s="4"/>
      <c r="B151" s="4"/>
      <c r="C151" s="4"/>
      <c r="D151" s="4"/>
      <c r="E151" s="4"/>
      <c r="F151" s="4"/>
      <c r="G151" s="4"/>
      <c r="H151" s="4"/>
      <c r="I151" s="4"/>
      <c r="J151" s="4"/>
      <c r="K151" s="4"/>
      <c r="L151" s="74"/>
      <c r="M151" s="75">
        <v>152</v>
      </c>
      <c r="N151" s="72" t="s">
        <v>856</v>
      </c>
      <c r="O151" s="72" t="s">
        <v>733</v>
      </c>
      <c r="P151" s="72" t="s">
        <v>301</v>
      </c>
      <c r="Q151" s="72" t="s">
        <v>105</v>
      </c>
      <c r="R151" s="72" t="s">
        <v>731</v>
      </c>
      <c r="S151" s="72">
        <v>37</v>
      </c>
      <c r="T151" s="72">
        <v>6000</v>
      </c>
      <c r="U151" s="72">
        <v>4000</v>
      </c>
      <c r="V151" s="72">
        <v>50000</v>
      </c>
      <c r="W151" s="72" t="s">
        <v>204</v>
      </c>
      <c r="X151" s="74" t="s">
        <v>200</v>
      </c>
      <c r="Y151" s="72">
        <v>150</v>
      </c>
      <c r="Z151" s="248" t="s">
        <v>200</v>
      </c>
      <c r="AA151" s="248"/>
      <c r="AB151" s="248" t="s">
        <v>200</v>
      </c>
      <c r="AC151" s="248" t="s">
        <v>200</v>
      </c>
      <c r="AD151" s="248" t="s">
        <v>200</v>
      </c>
      <c r="AE151" s="248" t="s">
        <v>200</v>
      </c>
      <c r="AF151" s="248" t="s">
        <v>200</v>
      </c>
      <c r="AG151" s="248" t="s">
        <v>200</v>
      </c>
      <c r="AH151" s="248" t="s">
        <v>200</v>
      </c>
      <c r="AI151" s="248"/>
      <c r="AJ151" s="74" t="s">
        <v>200</v>
      </c>
      <c r="AK151" s="72">
        <v>153</v>
      </c>
      <c r="AL151" s="248" t="s">
        <v>200</v>
      </c>
      <c r="AM151" s="248"/>
      <c r="AN151" s="248" t="s">
        <v>200</v>
      </c>
      <c r="AO151" s="248" t="s">
        <v>200</v>
      </c>
      <c r="AP151" s="248" t="s">
        <v>200</v>
      </c>
      <c r="AQ151" s="248" t="s">
        <v>200</v>
      </c>
      <c r="AR151" s="248" t="s">
        <v>200</v>
      </c>
      <c r="AS151" s="248" t="s">
        <v>200</v>
      </c>
      <c r="AT151" s="248" t="s">
        <v>200</v>
      </c>
      <c r="AU151" s="248"/>
      <c r="AV151" s="74" t="s">
        <v>200</v>
      </c>
      <c r="AW151" s="75">
        <v>153</v>
      </c>
      <c r="AX151" s="247"/>
      <c r="AY151" s="247"/>
      <c r="AZ151" s="247"/>
      <c r="BA151" s="247"/>
      <c r="BB151" s="247"/>
      <c r="BC151" s="247"/>
      <c r="BD151" s="247"/>
      <c r="BE151" s="247"/>
      <c r="BF151" s="247"/>
      <c r="BG151" s="248"/>
    </row>
    <row r="152" spans="1:59">
      <c r="A152" s="4"/>
      <c r="B152" s="4"/>
      <c r="C152" s="4"/>
      <c r="D152" s="4"/>
      <c r="E152" s="4"/>
      <c r="F152" s="4"/>
      <c r="G152" s="4"/>
      <c r="H152" s="4"/>
      <c r="I152" s="4"/>
      <c r="J152" s="4"/>
      <c r="K152" s="4"/>
      <c r="L152" s="74"/>
      <c r="M152" s="75">
        <v>153</v>
      </c>
      <c r="N152" s="72" t="s">
        <v>856</v>
      </c>
      <c r="O152" s="72" t="s">
        <v>734</v>
      </c>
      <c r="P152" s="72" t="s">
        <v>301</v>
      </c>
      <c r="Q152" s="72" t="s">
        <v>105</v>
      </c>
      <c r="R152" s="72" t="s">
        <v>735</v>
      </c>
      <c r="S152" s="72">
        <v>70</v>
      </c>
      <c r="T152" s="72">
        <v>12000</v>
      </c>
      <c r="U152" s="72">
        <v>4000</v>
      </c>
      <c r="V152" s="72">
        <v>50000</v>
      </c>
      <c r="W152" s="72" t="s">
        <v>204</v>
      </c>
      <c r="X152" s="74" t="s">
        <v>200</v>
      </c>
      <c r="Y152" s="72">
        <v>151</v>
      </c>
      <c r="Z152" s="248" t="s">
        <v>200</v>
      </c>
      <c r="AA152" s="248"/>
      <c r="AB152" s="248" t="s">
        <v>200</v>
      </c>
      <c r="AC152" s="248" t="s">
        <v>200</v>
      </c>
      <c r="AD152" s="248" t="s">
        <v>200</v>
      </c>
      <c r="AE152" s="248" t="s">
        <v>200</v>
      </c>
      <c r="AF152" s="248" t="s">
        <v>200</v>
      </c>
      <c r="AG152" s="248" t="s">
        <v>200</v>
      </c>
      <c r="AH152" s="248" t="s">
        <v>200</v>
      </c>
      <c r="AI152" s="248"/>
      <c r="AJ152" s="74" t="s">
        <v>200</v>
      </c>
      <c r="AK152" s="72">
        <v>154</v>
      </c>
      <c r="AL152" s="248" t="s">
        <v>200</v>
      </c>
      <c r="AM152" s="248"/>
      <c r="AN152" s="248" t="s">
        <v>200</v>
      </c>
      <c r="AO152" s="248" t="s">
        <v>200</v>
      </c>
      <c r="AP152" s="248" t="s">
        <v>200</v>
      </c>
      <c r="AQ152" s="248" t="s">
        <v>200</v>
      </c>
      <c r="AR152" s="248" t="s">
        <v>200</v>
      </c>
      <c r="AS152" s="248" t="s">
        <v>200</v>
      </c>
      <c r="AT152" s="248" t="s">
        <v>200</v>
      </c>
      <c r="AU152" s="248"/>
      <c r="AV152" s="74" t="s">
        <v>200</v>
      </c>
      <c r="AW152" s="75">
        <v>154</v>
      </c>
      <c r="AX152" s="247"/>
      <c r="AY152" s="247"/>
      <c r="AZ152" s="247"/>
      <c r="BA152" s="247"/>
      <c r="BB152" s="247"/>
      <c r="BC152" s="247"/>
      <c r="BD152" s="247"/>
      <c r="BE152" s="247"/>
      <c r="BF152" s="247"/>
      <c r="BG152" s="248"/>
    </row>
    <row r="153" spans="1:59">
      <c r="A153" s="4"/>
      <c r="B153" s="4"/>
      <c r="C153" s="4"/>
      <c r="D153" s="4"/>
      <c r="E153" s="4"/>
      <c r="F153" s="4"/>
      <c r="G153" s="4"/>
      <c r="H153" s="4"/>
      <c r="I153" s="4"/>
      <c r="J153" s="4"/>
      <c r="K153" s="4"/>
      <c r="L153" s="74"/>
      <c r="M153" s="75">
        <v>154</v>
      </c>
      <c r="N153" s="72" t="s">
        <v>856</v>
      </c>
      <c r="O153" s="72" t="s">
        <v>736</v>
      </c>
      <c r="P153" s="72" t="s">
        <v>301</v>
      </c>
      <c r="Q153" s="72" t="s">
        <v>105</v>
      </c>
      <c r="R153" s="72" t="s">
        <v>731</v>
      </c>
      <c r="S153" s="72">
        <v>36</v>
      </c>
      <c r="T153" s="72">
        <v>4500</v>
      </c>
      <c r="U153" s="72">
        <v>2200</v>
      </c>
      <c r="V153" s="72">
        <v>50000</v>
      </c>
      <c r="W153" s="72" t="s">
        <v>204</v>
      </c>
      <c r="X153" s="74" t="s">
        <v>200</v>
      </c>
      <c r="Y153" s="72">
        <v>152</v>
      </c>
      <c r="Z153" s="248" t="s">
        <v>200</v>
      </c>
      <c r="AA153" s="248"/>
      <c r="AB153" s="248" t="s">
        <v>200</v>
      </c>
      <c r="AC153" s="248" t="s">
        <v>200</v>
      </c>
      <c r="AD153" s="248" t="s">
        <v>200</v>
      </c>
      <c r="AE153" s="248" t="s">
        <v>200</v>
      </c>
      <c r="AF153" s="248" t="s">
        <v>200</v>
      </c>
      <c r="AG153" s="248" t="s">
        <v>200</v>
      </c>
      <c r="AH153" s="248" t="s">
        <v>200</v>
      </c>
      <c r="AI153" s="248"/>
      <c r="AJ153" s="74" t="s">
        <v>200</v>
      </c>
      <c r="AK153" s="72">
        <v>155</v>
      </c>
      <c r="AL153" s="248" t="s">
        <v>200</v>
      </c>
      <c r="AM153" s="248"/>
      <c r="AN153" s="248" t="s">
        <v>200</v>
      </c>
      <c r="AO153" s="248" t="s">
        <v>200</v>
      </c>
      <c r="AP153" s="248" t="s">
        <v>200</v>
      </c>
      <c r="AQ153" s="248" t="s">
        <v>200</v>
      </c>
      <c r="AR153" s="248" t="s">
        <v>200</v>
      </c>
      <c r="AS153" s="248" t="s">
        <v>200</v>
      </c>
      <c r="AT153" s="248" t="s">
        <v>200</v>
      </c>
      <c r="AU153" s="248"/>
      <c r="AV153" s="74" t="s">
        <v>200</v>
      </c>
      <c r="AW153" s="75">
        <v>155</v>
      </c>
      <c r="AX153" s="247"/>
      <c r="AY153" s="247"/>
      <c r="AZ153" s="247"/>
      <c r="BA153" s="247"/>
      <c r="BB153" s="247"/>
      <c r="BC153" s="247"/>
      <c r="BD153" s="247"/>
      <c r="BE153" s="247"/>
      <c r="BF153" s="247"/>
      <c r="BG153" s="248"/>
    </row>
    <row r="154" spans="1:59">
      <c r="A154" s="4"/>
      <c r="B154" s="4"/>
      <c r="C154" s="4"/>
      <c r="D154" s="4"/>
      <c r="E154" s="4"/>
      <c r="F154" s="4"/>
      <c r="G154" s="4"/>
      <c r="H154" s="4"/>
      <c r="I154" s="4"/>
      <c r="J154" s="4"/>
      <c r="K154" s="4"/>
      <c r="L154" s="4"/>
      <c r="M154" s="75">
        <v>155</v>
      </c>
      <c r="N154" s="72" t="s">
        <v>856</v>
      </c>
      <c r="O154" s="72" t="s">
        <v>737</v>
      </c>
      <c r="P154" s="72" t="s">
        <v>301</v>
      </c>
      <c r="Q154" s="72" t="s">
        <v>105</v>
      </c>
      <c r="R154" s="72" t="s">
        <v>735</v>
      </c>
      <c r="S154" s="72">
        <v>70</v>
      </c>
      <c r="T154" s="72">
        <v>8400</v>
      </c>
      <c r="U154" s="72">
        <v>2200</v>
      </c>
      <c r="V154" s="72">
        <v>50000</v>
      </c>
      <c r="W154" s="72" t="s">
        <v>204</v>
      </c>
      <c r="X154"/>
      <c r="Y154" s="72">
        <v>153</v>
      </c>
      <c r="Z154" s="248" t="s">
        <v>200</v>
      </c>
      <c r="AA154" s="248"/>
      <c r="AB154" s="248" t="s">
        <v>200</v>
      </c>
      <c r="AC154" s="248" t="s">
        <v>200</v>
      </c>
      <c r="AD154" s="248" t="s">
        <v>200</v>
      </c>
      <c r="AE154" s="248" t="s">
        <v>200</v>
      </c>
      <c r="AF154" s="248" t="s">
        <v>200</v>
      </c>
      <c r="AG154" s="248" t="s">
        <v>200</v>
      </c>
      <c r="AH154" s="248" t="s">
        <v>200</v>
      </c>
      <c r="AI154" s="248"/>
      <c r="AJ154"/>
      <c r="AK154" s="72">
        <v>156</v>
      </c>
      <c r="AL154" s="248" t="s">
        <v>200</v>
      </c>
      <c r="AM154" s="248"/>
      <c r="AN154" s="248" t="s">
        <v>200</v>
      </c>
      <c r="AO154" s="248" t="s">
        <v>200</v>
      </c>
      <c r="AP154" s="248" t="s">
        <v>200</v>
      </c>
      <c r="AQ154" s="248" t="s">
        <v>200</v>
      </c>
      <c r="AR154" s="248" t="s">
        <v>200</v>
      </c>
      <c r="AS154" s="248" t="s">
        <v>200</v>
      </c>
      <c r="AT154" s="248" t="s">
        <v>200</v>
      </c>
      <c r="AU154" s="248"/>
      <c r="AV154"/>
      <c r="AW154" s="75">
        <v>156</v>
      </c>
      <c r="AX154" s="247"/>
      <c r="AY154" s="247"/>
      <c r="AZ154" s="247"/>
      <c r="BA154" s="247"/>
      <c r="BB154" s="247"/>
      <c r="BC154" s="247"/>
      <c r="BD154" s="247"/>
      <c r="BE154" s="247"/>
      <c r="BF154" s="247"/>
      <c r="BG154" s="248"/>
    </row>
    <row r="155" spans="1:59">
      <c r="A155" s="4"/>
      <c r="B155" s="4"/>
      <c r="C155" s="4"/>
      <c r="D155" s="4"/>
      <c r="E155" s="4"/>
      <c r="F155" s="4"/>
      <c r="G155" s="4"/>
      <c r="H155" s="4"/>
      <c r="I155" s="4"/>
      <c r="J155" s="4"/>
      <c r="K155" s="4"/>
      <c r="L155" s="4"/>
      <c r="M155" s="75">
        <v>156</v>
      </c>
      <c r="N155" s="72" t="s">
        <v>856</v>
      </c>
      <c r="O155" s="72" t="s">
        <v>738</v>
      </c>
      <c r="P155" s="72" t="s">
        <v>301</v>
      </c>
      <c r="Q155" s="72" t="s">
        <v>105</v>
      </c>
      <c r="R155" s="72" t="s">
        <v>735</v>
      </c>
      <c r="S155" s="72">
        <v>70</v>
      </c>
      <c r="T155" s="72">
        <v>10000</v>
      </c>
      <c r="U155" s="72">
        <v>2700</v>
      </c>
      <c r="V155" s="72">
        <v>50000</v>
      </c>
      <c r="W155" s="72" t="s">
        <v>204</v>
      </c>
      <c r="X155"/>
      <c r="Y155" s="72">
        <v>154</v>
      </c>
      <c r="Z155" s="248" t="s">
        <v>200</v>
      </c>
      <c r="AA155" s="248"/>
      <c r="AB155" s="248" t="s">
        <v>200</v>
      </c>
      <c r="AC155" s="248" t="s">
        <v>200</v>
      </c>
      <c r="AD155" s="248" t="s">
        <v>200</v>
      </c>
      <c r="AE155" s="248" t="s">
        <v>200</v>
      </c>
      <c r="AF155" s="248" t="s">
        <v>200</v>
      </c>
      <c r="AG155" s="248" t="s">
        <v>200</v>
      </c>
      <c r="AH155" s="248" t="s">
        <v>200</v>
      </c>
      <c r="AI155" s="248"/>
      <c r="AJ155"/>
      <c r="AK155" s="72">
        <v>157</v>
      </c>
      <c r="AL155" s="248" t="s">
        <v>200</v>
      </c>
      <c r="AM155" s="248"/>
      <c r="AN155" s="248" t="s">
        <v>200</v>
      </c>
      <c r="AO155" s="248" t="s">
        <v>200</v>
      </c>
      <c r="AP155" s="248" t="s">
        <v>200</v>
      </c>
      <c r="AQ155" s="248" t="s">
        <v>200</v>
      </c>
      <c r="AR155" s="248" t="s">
        <v>200</v>
      </c>
      <c r="AS155" s="248" t="s">
        <v>200</v>
      </c>
      <c r="AT155" s="248" t="s">
        <v>200</v>
      </c>
      <c r="AU155" s="248"/>
      <c r="AV155"/>
      <c r="AW155" s="75">
        <v>157</v>
      </c>
      <c r="AX155" s="247"/>
      <c r="AY155" s="247"/>
      <c r="AZ155" s="247"/>
      <c r="BA155" s="247"/>
      <c r="BB155" s="247"/>
      <c r="BC155" s="247"/>
      <c r="BD155" s="247"/>
      <c r="BE155" s="247"/>
      <c r="BF155" s="247"/>
      <c r="BG155" s="248"/>
    </row>
    <row r="156" spans="1:59">
      <c r="A156" s="4"/>
      <c r="B156" s="4"/>
      <c r="C156" s="4"/>
      <c r="D156" s="4"/>
      <c r="E156" s="4"/>
      <c r="F156" s="4"/>
      <c r="G156" s="4"/>
      <c r="H156" s="4"/>
      <c r="I156" s="4"/>
      <c r="J156" s="4"/>
      <c r="K156" s="4"/>
      <c r="L156" s="4"/>
      <c r="M156" s="75">
        <v>157</v>
      </c>
      <c r="N156" s="72" t="s">
        <v>856</v>
      </c>
      <c r="O156" s="72" t="s">
        <v>739</v>
      </c>
      <c r="P156" s="72" t="s">
        <v>301</v>
      </c>
      <c r="Q156" s="72" t="s">
        <v>104</v>
      </c>
      <c r="R156" s="72" t="s">
        <v>729</v>
      </c>
      <c r="S156" s="72">
        <v>36</v>
      </c>
      <c r="T156" s="72">
        <v>4500</v>
      </c>
      <c r="U156" s="72">
        <v>2200</v>
      </c>
      <c r="V156" s="72">
        <v>50000</v>
      </c>
      <c r="W156" s="72" t="s">
        <v>204</v>
      </c>
      <c r="X156"/>
      <c r="Y156" s="72">
        <v>155</v>
      </c>
      <c r="Z156" s="248" t="s">
        <v>200</v>
      </c>
      <c r="AA156" s="248"/>
      <c r="AB156" s="248" t="s">
        <v>200</v>
      </c>
      <c r="AC156" s="248" t="s">
        <v>200</v>
      </c>
      <c r="AD156" s="248" t="s">
        <v>200</v>
      </c>
      <c r="AE156" s="248" t="s">
        <v>200</v>
      </c>
      <c r="AF156" s="248" t="s">
        <v>200</v>
      </c>
      <c r="AG156" s="248" t="s">
        <v>200</v>
      </c>
      <c r="AH156" s="248" t="s">
        <v>200</v>
      </c>
      <c r="AI156" s="248"/>
      <c r="AJ156"/>
      <c r="AK156" s="72">
        <v>158</v>
      </c>
      <c r="AL156" s="248" t="s">
        <v>200</v>
      </c>
      <c r="AM156" s="248"/>
      <c r="AN156" s="248" t="s">
        <v>200</v>
      </c>
      <c r="AO156" s="248" t="s">
        <v>200</v>
      </c>
      <c r="AP156" s="248" t="s">
        <v>200</v>
      </c>
      <c r="AQ156" s="248" t="s">
        <v>200</v>
      </c>
      <c r="AR156" s="248" t="s">
        <v>200</v>
      </c>
      <c r="AS156" s="248" t="s">
        <v>200</v>
      </c>
      <c r="AT156" s="248" t="s">
        <v>200</v>
      </c>
      <c r="AU156" s="248"/>
      <c r="AV156"/>
      <c r="AW156" s="75">
        <v>158</v>
      </c>
      <c r="AX156" s="247"/>
      <c r="AY156" s="247"/>
      <c r="AZ156" s="247"/>
      <c r="BA156" s="247"/>
      <c r="BB156" s="247"/>
      <c r="BC156" s="247"/>
      <c r="BD156" s="247"/>
      <c r="BE156" s="247"/>
      <c r="BF156" s="247"/>
      <c r="BG156" s="248"/>
    </row>
    <row r="157" spans="1:59">
      <c r="L157" s="4"/>
      <c r="M157" s="75">
        <v>158</v>
      </c>
      <c r="N157" s="72" t="s">
        <v>856</v>
      </c>
      <c r="O157" s="72" t="s">
        <v>740</v>
      </c>
      <c r="P157" s="72" t="s">
        <v>301</v>
      </c>
      <c r="Q157" s="72" t="s">
        <v>104</v>
      </c>
      <c r="R157" s="72" t="s">
        <v>741</v>
      </c>
      <c r="S157" s="72">
        <v>16</v>
      </c>
      <c r="T157" s="72">
        <v>1800</v>
      </c>
      <c r="U157" s="72">
        <v>2700</v>
      </c>
      <c r="V157" s="72">
        <v>50000</v>
      </c>
      <c r="W157" s="72" t="s">
        <v>270</v>
      </c>
      <c r="X157"/>
      <c r="Y157" s="72">
        <v>156</v>
      </c>
      <c r="Z157" s="248" t="s">
        <v>200</v>
      </c>
      <c r="AA157" s="248"/>
      <c r="AB157" s="248" t="s">
        <v>200</v>
      </c>
      <c r="AC157" s="248" t="s">
        <v>200</v>
      </c>
      <c r="AD157" s="248" t="s">
        <v>200</v>
      </c>
      <c r="AE157" s="248" t="s">
        <v>200</v>
      </c>
      <c r="AF157" s="248" t="s">
        <v>200</v>
      </c>
      <c r="AG157" s="248" t="s">
        <v>200</v>
      </c>
      <c r="AH157" s="248" t="s">
        <v>200</v>
      </c>
      <c r="AI157" s="248"/>
      <c r="AJ157"/>
      <c r="AK157" s="72">
        <v>159</v>
      </c>
      <c r="AL157" s="248" t="s">
        <v>200</v>
      </c>
      <c r="AM157" s="248"/>
      <c r="AN157" s="248" t="s">
        <v>200</v>
      </c>
      <c r="AO157" s="248" t="s">
        <v>200</v>
      </c>
      <c r="AP157" s="248" t="s">
        <v>200</v>
      </c>
      <c r="AQ157" s="248" t="s">
        <v>200</v>
      </c>
      <c r="AR157" s="248" t="s">
        <v>200</v>
      </c>
      <c r="AS157" s="248" t="s">
        <v>200</v>
      </c>
      <c r="AT157" s="248" t="s">
        <v>200</v>
      </c>
      <c r="AU157" s="248"/>
      <c r="AV157"/>
      <c r="AW157" s="75">
        <v>159</v>
      </c>
      <c r="AX157" s="247"/>
      <c r="AY157" s="247"/>
      <c r="AZ157" s="247"/>
      <c r="BA157" s="247"/>
      <c r="BB157" s="247"/>
      <c r="BC157" s="247"/>
      <c r="BD157" s="247"/>
      <c r="BE157" s="247"/>
      <c r="BF157" s="247"/>
      <c r="BG157" s="248"/>
    </row>
    <row r="158" spans="1:59">
      <c r="L158" s="4"/>
      <c r="M158" s="75">
        <v>159</v>
      </c>
      <c r="N158" s="72" t="s">
        <v>856</v>
      </c>
      <c r="O158" s="72" t="s">
        <v>742</v>
      </c>
      <c r="P158" s="72" t="s">
        <v>301</v>
      </c>
      <c r="Q158" s="72" t="s">
        <v>104</v>
      </c>
      <c r="R158" s="72" t="s">
        <v>741</v>
      </c>
      <c r="S158" s="72">
        <v>16</v>
      </c>
      <c r="T158" s="72">
        <v>2000</v>
      </c>
      <c r="U158" s="72">
        <v>4000</v>
      </c>
      <c r="V158" s="72">
        <v>50000</v>
      </c>
      <c r="W158" s="72" t="s">
        <v>270</v>
      </c>
      <c r="X158"/>
      <c r="Y158" s="72">
        <v>157</v>
      </c>
      <c r="Z158" s="248" t="s">
        <v>200</v>
      </c>
      <c r="AA158" s="248"/>
      <c r="AB158" s="248" t="s">
        <v>200</v>
      </c>
      <c r="AC158" s="248" t="s">
        <v>200</v>
      </c>
      <c r="AD158" s="248" t="s">
        <v>200</v>
      </c>
      <c r="AE158" s="248" t="s">
        <v>200</v>
      </c>
      <c r="AF158" s="248" t="s">
        <v>200</v>
      </c>
      <c r="AG158" s="248" t="s">
        <v>200</v>
      </c>
      <c r="AH158" s="248" t="s">
        <v>200</v>
      </c>
      <c r="AI158" s="248"/>
      <c r="AJ158"/>
      <c r="AK158" s="72">
        <v>160</v>
      </c>
      <c r="AL158" s="248" t="s">
        <v>200</v>
      </c>
      <c r="AM158" s="248"/>
      <c r="AN158" s="248" t="s">
        <v>200</v>
      </c>
      <c r="AO158" s="248" t="s">
        <v>200</v>
      </c>
      <c r="AP158" s="248" t="s">
        <v>200</v>
      </c>
      <c r="AQ158" s="248" t="s">
        <v>200</v>
      </c>
      <c r="AR158" s="248" t="s">
        <v>200</v>
      </c>
      <c r="AS158" s="248" t="s">
        <v>200</v>
      </c>
      <c r="AT158" s="248" t="s">
        <v>200</v>
      </c>
      <c r="AU158" s="248"/>
      <c r="AV158"/>
      <c r="AW158" s="75">
        <v>160</v>
      </c>
      <c r="AX158" s="247"/>
      <c r="AY158" s="247"/>
      <c r="AZ158" s="247"/>
      <c r="BA158" s="247"/>
      <c r="BB158" s="247"/>
      <c r="BC158" s="247"/>
      <c r="BD158" s="247"/>
      <c r="BE158" s="247"/>
      <c r="BF158" s="247"/>
      <c r="BG158" s="248"/>
    </row>
    <row r="159" spans="1:59">
      <c r="L159" s="4"/>
      <c r="M159" s="75">
        <v>160</v>
      </c>
      <c r="N159" s="72" t="s">
        <v>856</v>
      </c>
      <c r="O159" s="72" t="s">
        <v>743</v>
      </c>
      <c r="P159" s="72" t="s">
        <v>301</v>
      </c>
      <c r="Q159" s="72" t="s">
        <v>104</v>
      </c>
      <c r="R159" s="72" t="s">
        <v>744</v>
      </c>
      <c r="S159" s="72">
        <v>23</v>
      </c>
      <c r="T159" s="72">
        <v>2700</v>
      </c>
      <c r="U159" s="72">
        <v>2700</v>
      </c>
      <c r="V159" s="72">
        <v>50000</v>
      </c>
      <c r="W159" s="72" t="s">
        <v>270</v>
      </c>
      <c r="X159"/>
      <c r="Y159" s="72">
        <v>158</v>
      </c>
      <c r="Z159" s="248" t="s">
        <v>200</v>
      </c>
      <c r="AA159" s="248"/>
      <c r="AB159" s="248" t="s">
        <v>200</v>
      </c>
      <c r="AC159" s="248" t="s">
        <v>200</v>
      </c>
      <c r="AD159" s="248" t="s">
        <v>200</v>
      </c>
      <c r="AE159" s="248" t="s">
        <v>200</v>
      </c>
      <c r="AF159" s="248" t="s">
        <v>200</v>
      </c>
      <c r="AG159" s="248" t="s">
        <v>200</v>
      </c>
      <c r="AH159" s="248" t="s">
        <v>200</v>
      </c>
      <c r="AI159" s="248"/>
      <c r="AJ159"/>
      <c r="AK159" s="72">
        <v>161</v>
      </c>
      <c r="AL159" s="248" t="s">
        <v>200</v>
      </c>
      <c r="AM159" s="248"/>
      <c r="AN159" s="248" t="s">
        <v>200</v>
      </c>
      <c r="AO159" s="248" t="s">
        <v>200</v>
      </c>
      <c r="AP159" s="248" t="s">
        <v>200</v>
      </c>
      <c r="AQ159" s="248" t="s">
        <v>200</v>
      </c>
      <c r="AR159" s="248" t="s">
        <v>200</v>
      </c>
      <c r="AS159" s="248" t="s">
        <v>200</v>
      </c>
      <c r="AT159" s="248" t="s">
        <v>200</v>
      </c>
      <c r="AU159" s="248"/>
      <c r="AV159"/>
      <c r="AW159" s="75">
        <v>161</v>
      </c>
      <c r="AX159" s="247"/>
      <c r="AY159" s="247"/>
      <c r="AZ159" s="247"/>
      <c r="BA159" s="247"/>
      <c r="BB159" s="247"/>
      <c r="BC159" s="247"/>
      <c r="BD159" s="247"/>
      <c r="BE159" s="247"/>
      <c r="BF159" s="247"/>
      <c r="BG159" s="248"/>
    </row>
    <row r="160" spans="1:59">
      <c r="L160" s="4"/>
      <c r="M160" s="75">
        <v>161</v>
      </c>
      <c r="N160" s="72" t="s">
        <v>856</v>
      </c>
      <c r="O160" s="72" t="s">
        <v>745</v>
      </c>
      <c r="P160" s="72" t="s">
        <v>301</v>
      </c>
      <c r="Q160" s="72" t="s">
        <v>104</v>
      </c>
      <c r="R160" s="72" t="s">
        <v>744</v>
      </c>
      <c r="S160" s="72">
        <v>23</v>
      </c>
      <c r="T160" s="72">
        <v>3000</v>
      </c>
      <c r="U160" s="72">
        <v>4000</v>
      </c>
      <c r="V160" s="72">
        <v>50000</v>
      </c>
      <c r="W160" s="72" t="s">
        <v>270</v>
      </c>
      <c r="X160"/>
      <c r="Y160" s="72">
        <v>159</v>
      </c>
      <c r="Z160" s="248" t="s">
        <v>200</v>
      </c>
      <c r="AA160" s="248"/>
      <c r="AB160" s="248" t="s">
        <v>200</v>
      </c>
      <c r="AC160" s="248" t="s">
        <v>200</v>
      </c>
      <c r="AD160" s="248" t="s">
        <v>200</v>
      </c>
      <c r="AE160" s="248" t="s">
        <v>200</v>
      </c>
      <c r="AF160" s="248" t="s">
        <v>200</v>
      </c>
      <c r="AG160" s="248" t="s">
        <v>200</v>
      </c>
      <c r="AH160" s="248" t="s">
        <v>200</v>
      </c>
      <c r="AI160" s="248"/>
      <c r="AJ160"/>
      <c r="AK160" s="72">
        <v>162</v>
      </c>
      <c r="AL160" s="248" t="s">
        <v>200</v>
      </c>
      <c r="AM160" s="248"/>
      <c r="AN160" s="248" t="s">
        <v>200</v>
      </c>
      <c r="AO160" s="248" t="s">
        <v>200</v>
      </c>
      <c r="AP160" s="248" t="s">
        <v>200</v>
      </c>
      <c r="AQ160" s="248" t="s">
        <v>200</v>
      </c>
      <c r="AR160" s="248" t="s">
        <v>200</v>
      </c>
      <c r="AS160" s="248" t="s">
        <v>200</v>
      </c>
      <c r="AT160" s="248" t="s">
        <v>200</v>
      </c>
      <c r="AU160" s="248"/>
      <c r="AV160"/>
      <c r="AW160" s="75">
        <v>162</v>
      </c>
      <c r="AX160" s="247"/>
      <c r="AY160" s="247"/>
      <c r="AZ160" s="247"/>
      <c r="BA160" s="247"/>
      <c r="BB160" s="247"/>
      <c r="BC160" s="247"/>
      <c r="BD160" s="247"/>
      <c r="BE160" s="247"/>
      <c r="BF160" s="247"/>
      <c r="BG160" s="248"/>
    </row>
    <row r="161" spans="13:59">
      <c r="M161" s="75">
        <v>162</v>
      </c>
      <c r="N161" s="72" t="s">
        <v>856</v>
      </c>
      <c r="O161" s="72" t="s">
        <v>746</v>
      </c>
      <c r="P161" s="72" t="s">
        <v>301</v>
      </c>
      <c r="Q161" s="72" t="s">
        <v>104</v>
      </c>
      <c r="R161" s="72" t="s">
        <v>747</v>
      </c>
      <c r="S161" s="72">
        <v>30</v>
      </c>
      <c r="T161" s="72">
        <v>3600</v>
      </c>
      <c r="U161" s="72">
        <v>2700</v>
      </c>
      <c r="V161" s="72">
        <v>50000</v>
      </c>
      <c r="W161" s="72" t="s">
        <v>270</v>
      </c>
      <c r="X161"/>
      <c r="Y161" s="72">
        <v>160</v>
      </c>
      <c r="Z161" s="248" t="s">
        <v>200</v>
      </c>
      <c r="AA161" s="248"/>
      <c r="AB161" s="248" t="s">
        <v>200</v>
      </c>
      <c r="AC161" s="248" t="s">
        <v>200</v>
      </c>
      <c r="AD161" s="248" t="s">
        <v>200</v>
      </c>
      <c r="AE161" s="248" t="s">
        <v>200</v>
      </c>
      <c r="AF161" s="248" t="s">
        <v>200</v>
      </c>
      <c r="AG161" s="248" t="s">
        <v>200</v>
      </c>
      <c r="AH161" s="248" t="s">
        <v>200</v>
      </c>
      <c r="AI161" s="248"/>
      <c r="AJ161"/>
      <c r="AK161" s="72">
        <v>163</v>
      </c>
      <c r="AL161" s="248" t="s">
        <v>200</v>
      </c>
      <c r="AM161" s="248"/>
      <c r="AN161" s="248" t="s">
        <v>200</v>
      </c>
      <c r="AO161" s="248" t="s">
        <v>200</v>
      </c>
      <c r="AP161" s="248" t="s">
        <v>200</v>
      </c>
      <c r="AQ161" s="248" t="s">
        <v>200</v>
      </c>
      <c r="AR161" s="248" t="s">
        <v>200</v>
      </c>
      <c r="AS161" s="248" t="s">
        <v>200</v>
      </c>
      <c r="AT161" s="248" t="s">
        <v>200</v>
      </c>
      <c r="AU161" s="248"/>
      <c r="AV161"/>
      <c r="AW161" s="75">
        <v>163</v>
      </c>
      <c r="AX161" s="247"/>
      <c r="AY161" s="247"/>
      <c r="AZ161" s="247"/>
      <c r="BA161" s="247"/>
      <c r="BB161" s="247"/>
      <c r="BC161" s="247"/>
      <c r="BD161" s="247"/>
      <c r="BE161" s="247"/>
      <c r="BF161" s="247"/>
      <c r="BG161" s="248"/>
    </row>
    <row r="162" spans="13:59">
      <c r="M162" s="75">
        <v>163</v>
      </c>
      <c r="N162" s="72" t="s">
        <v>856</v>
      </c>
      <c r="O162" s="72" t="s">
        <v>748</v>
      </c>
      <c r="P162" s="72" t="s">
        <v>301</v>
      </c>
      <c r="Q162" s="72" t="s">
        <v>104</v>
      </c>
      <c r="R162" s="72" t="s">
        <v>747</v>
      </c>
      <c r="S162" s="72">
        <v>30</v>
      </c>
      <c r="T162" s="72">
        <v>4000</v>
      </c>
      <c r="U162" s="72">
        <v>4000</v>
      </c>
      <c r="V162" s="72">
        <v>50000</v>
      </c>
      <c r="W162" s="72" t="s">
        <v>270</v>
      </c>
      <c r="X162"/>
      <c r="Y162" s="72">
        <v>161</v>
      </c>
      <c r="Z162" s="248" t="s">
        <v>200</v>
      </c>
      <c r="AA162" s="248"/>
      <c r="AB162" s="248" t="s">
        <v>200</v>
      </c>
      <c r="AC162" s="248" t="s">
        <v>200</v>
      </c>
      <c r="AD162" s="248" t="s">
        <v>200</v>
      </c>
      <c r="AE162" s="248" t="s">
        <v>200</v>
      </c>
      <c r="AF162" s="248" t="s">
        <v>200</v>
      </c>
      <c r="AG162" s="248" t="s">
        <v>200</v>
      </c>
      <c r="AH162" s="248" t="s">
        <v>200</v>
      </c>
      <c r="AI162" s="248"/>
      <c r="AJ162"/>
      <c r="AK162" s="72">
        <v>164</v>
      </c>
      <c r="AL162" s="248" t="s">
        <v>200</v>
      </c>
      <c r="AM162" s="248"/>
      <c r="AN162" s="248" t="s">
        <v>200</v>
      </c>
      <c r="AO162" s="248" t="s">
        <v>200</v>
      </c>
      <c r="AP162" s="248" t="s">
        <v>200</v>
      </c>
      <c r="AQ162" s="248" t="s">
        <v>200</v>
      </c>
      <c r="AR162" s="248" t="s">
        <v>200</v>
      </c>
      <c r="AS162" s="248" t="s">
        <v>200</v>
      </c>
      <c r="AT162" s="248" t="s">
        <v>200</v>
      </c>
      <c r="AU162" s="248"/>
      <c r="AV162"/>
      <c r="AW162" s="75">
        <v>164</v>
      </c>
      <c r="AX162" s="247"/>
      <c r="AY162" s="247"/>
      <c r="AZ162" s="247"/>
      <c r="BA162" s="247"/>
      <c r="BB162" s="247"/>
      <c r="BC162" s="247"/>
      <c r="BD162" s="247"/>
      <c r="BE162" s="247"/>
      <c r="BF162" s="247"/>
      <c r="BG162" s="248"/>
    </row>
    <row r="163" spans="13:59">
      <c r="M163" s="75">
        <v>164</v>
      </c>
      <c r="N163" s="72" t="s">
        <v>128</v>
      </c>
      <c r="O163" s="72" t="s">
        <v>749</v>
      </c>
      <c r="P163" s="72" t="s">
        <v>215</v>
      </c>
      <c r="Q163" s="72" t="s">
        <v>104</v>
      </c>
      <c r="R163" s="72" t="s">
        <v>206</v>
      </c>
      <c r="S163" s="72">
        <v>7.5</v>
      </c>
      <c r="T163" s="72">
        <v>806</v>
      </c>
      <c r="U163" s="72">
        <v>3000</v>
      </c>
      <c r="V163" s="72">
        <v>15000</v>
      </c>
      <c r="W163" s="72" t="s">
        <v>270</v>
      </c>
      <c r="X163"/>
      <c r="Y163" s="72">
        <v>162</v>
      </c>
      <c r="Z163" s="248" t="s">
        <v>200</v>
      </c>
      <c r="AA163" s="248"/>
      <c r="AB163" s="248" t="s">
        <v>200</v>
      </c>
      <c r="AC163" s="248" t="s">
        <v>200</v>
      </c>
      <c r="AD163" s="248" t="s">
        <v>200</v>
      </c>
      <c r="AE163" s="248" t="s">
        <v>200</v>
      </c>
      <c r="AF163" s="248" t="s">
        <v>200</v>
      </c>
      <c r="AG163" s="248" t="s">
        <v>200</v>
      </c>
      <c r="AH163" s="248" t="s">
        <v>200</v>
      </c>
      <c r="AI163" s="248"/>
      <c r="AJ163"/>
      <c r="AK163" s="72">
        <v>165</v>
      </c>
      <c r="AL163" s="248" t="s">
        <v>200</v>
      </c>
      <c r="AM163" s="248"/>
      <c r="AN163" s="248" t="s">
        <v>200</v>
      </c>
      <c r="AO163" s="248" t="s">
        <v>200</v>
      </c>
      <c r="AP163" s="248" t="s">
        <v>200</v>
      </c>
      <c r="AQ163" s="248" t="s">
        <v>200</v>
      </c>
      <c r="AR163" s="248" t="s">
        <v>200</v>
      </c>
      <c r="AS163" s="248" t="s">
        <v>200</v>
      </c>
      <c r="AT163" s="248" t="s">
        <v>200</v>
      </c>
      <c r="AU163" s="248"/>
      <c r="AV163"/>
      <c r="AW163" s="75">
        <v>165</v>
      </c>
      <c r="AX163" s="247"/>
      <c r="AY163" s="247"/>
      <c r="AZ163" s="247"/>
      <c r="BA163" s="247"/>
      <c r="BB163" s="247"/>
      <c r="BC163" s="247"/>
      <c r="BD163" s="247"/>
      <c r="BE163" s="247"/>
      <c r="BF163" s="247"/>
      <c r="BG163" s="248"/>
    </row>
    <row r="164" spans="13:59">
      <c r="M164" s="75">
        <v>165</v>
      </c>
      <c r="N164" s="72" t="s">
        <v>128</v>
      </c>
      <c r="O164" s="72" t="s">
        <v>750</v>
      </c>
      <c r="P164" s="72" t="s">
        <v>215</v>
      </c>
      <c r="Q164" s="72" t="s">
        <v>104</v>
      </c>
      <c r="R164" s="72" t="s">
        <v>206</v>
      </c>
      <c r="S164" s="72">
        <v>7.5</v>
      </c>
      <c r="T164" s="72">
        <v>750</v>
      </c>
      <c r="U164" s="72">
        <v>6500</v>
      </c>
      <c r="V164" s="72">
        <v>15000</v>
      </c>
      <c r="W164" s="72" t="s">
        <v>270</v>
      </c>
      <c r="X164"/>
      <c r="Y164" s="72">
        <v>163</v>
      </c>
      <c r="Z164" s="248" t="s">
        <v>200</v>
      </c>
      <c r="AA164" s="248"/>
      <c r="AB164" s="248" t="s">
        <v>200</v>
      </c>
      <c r="AC164" s="248" t="s">
        <v>200</v>
      </c>
      <c r="AD164" s="248" t="s">
        <v>200</v>
      </c>
      <c r="AE164" s="248" t="s">
        <v>200</v>
      </c>
      <c r="AF164" s="248" t="s">
        <v>200</v>
      </c>
      <c r="AG164" s="248" t="s">
        <v>200</v>
      </c>
      <c r="AH164" s="248" t="s">
        <v>200</v>
      </c>
      <c r="AI164" s="248"/>
      <c r="AJ164"/>
      <c r="AK164" s="72">
        <v>166</v>
      </c>
      <c r="AL164" s="248" t="s">
        <v>200</v>
      </c>
      <c r="AM164" s="248"/>
      <c r="AN164" s="248" t="s">
        <v>200</v>
      </c>
      <c r="AO164" s="248" t="s">
        <v>200</v>
      </c>
      <c r="AP164" s="248" t="s">
        <v>200</v>
      </c>
      <c r="AQ164" s="248" t="s">
        <v>200</v>
      </c>
      <c r="AR164" s="248" t="s">
        <v>200</v>
      </c>
      <c r="AS164" s="248" t="s">
        <v>200</v>
      </c>
      <c r="AT164" s="248" t="s">
        <v>200</v>
      </c>
      <c r="AU164" s="248"/>
      <c r="AV164"/>
      <c r="AW164"/>
      <c r="AX164"/>
      <c r="AY164"/>
      <c r="AZ164"/>
      <c r="BA164"/>
      <c r="BB164"/>
      <c r="BC164"/>
      <c r="BD164"/>
      <c r="BE164"/>
      <c r="BF164"/>
      <c r="BG164"/>
    </row>
    <row r="165" spans="13:59">
      <c r="M165" s="75">
        <v>166</v>
      </c>
      <c r="N165" s="72" t="s">
        <v>128</v>
      </c>
      <c r="O165" s="72" t="s">
        <v>751</v>
      </c>
      <c r="P165" s="72" t="s">
        <v>215</v>
      </c>
      <c r="Q165" s="72" t="s">
        <v>104</v>
      </c>
      <c r="R165" s="72" t="s">
        <v>206</v>
      </c>
      <c r="S165" s="72">
        <v>9.5</v>
      </c>
      <c r="T165" s="72">
        <v>950</v>
      </c>
      <c r="U165" s="72">
        <v>3000</v>
      </c>
      <c r="V165" s="72">
        <v>15000</v>
      </c>
      <c r="W165" s="72" t="s">
        <v>270</v>
      </c>
      <c r="X165"/>
      <c r="Y165" s="72">
        <v>164</v>
      </c>
      <c r="Z165" s="248" t="s">
        <v>200</v>
      </c>
      <c r="AA165" s="248"/>
      <c r="AB165" s="248" t="s">
        <v>200</v>
      </c>
      <c r="AC165" s="248" t="s">
        <v>200</v>
      </c>
      <c r="AD165" s="248" t="s">
        <v>200</v>
      </c>
      <c r="AE165" s="248" t="s">
        <v>200</v>
      </c>
      <c r="AF165" s="248" t="s">
        <v>200</v>
      </c>
      <c r="AG165" s="248" t="s">
        <v>200</v>
      </c>
      <c r="AH165" s="248" t="s">
        <v>200</v>
      </c>
      <c r="AI165" s="248"/>
      <c r="AJ165"/>
      <c r="AK165" s="72">
        <v>167</v>
      </c>
      <c r="AL165" s="248" t="s">
        <v>200</v>
      </c>
      <c r="AM165" s="248"/>
      <c r="AN165" s="248" t="s">
        <v>200</v>
      </c>
      <c r="AO165" s="248" t="s">
        <v>200</v>
      </c>
      <c r="AP165" s="248" t="s">
        <v>200</v>
      </c>
      <c r="AQ165" s="248" t="s">
        <v>200</v>
      </c>
      <c r="AR165" s="248" t="s">
        <v>200</v>
      </c>
      <c r="AS165" s="248" t="s">
        <v>200</v>
      </c>
      <c r="AT165" s="248" t="s">
        <v>200</v>
      </c>
      <c r="AU165" s="248"/>
      <c r="AV165"/>
    </row>
    <row r="166" spans="13:59">
      <c r="M166" s="75">
        <v>167</v>
      </c>
      <c r="N166" s="72" t="s">
        <v>128</v>
      </c>
      <c r="O166" s="72" t="s">
        <v>752</v>
      </c>
      <c r="P166" s="72" t="s">
        <v>215</v>
      </c>
      <c r="Q166" s="72" t="s">
        <v>104</v>
      </c>
      <c r="R166" s="72" t="s">
        <v>206</v>
      </c>
      <c r="S166" s="72">
        <v>9.5</v>
      </c>
      <c r="T166" s="72">
        <v>1050</v>
      </c>
      <c r="U166" s="72">
        <v>6500</v>
      </c>
      <c r="V166" s="72">
        <v>15000</v>
      </c>
      <c r="W166" s="72" t="s">
        <v>270</v>
      </c>
      <c r="X166"/>
      <c r="Y166" s="72">
        <v>165</v>
      </c>
      <c r="Z166" s="248" t="s">
        <v>200</v>
      </c>
      <c r="AA166" s="248"/>
      <c r="AB166" s="248" t="s">
        <v>200</v>
      </c>
      <c r="AC166" s="248" t="s">
        <v>200</v>
      </c>
      <c r="AD166" s="248" t="s">
        <v>200</v>
      </c>
      <c r="AE166" s="248" t="s">
        <v>200</v>
      </c>
      <c r="AF166" s="248" t="s">
        <v>200</v>
      </c>
      <c r="AG166" s="248" t="s">
        <v>200</v>
      </c>
      <c r="AH166" s="248" t="s">
        <v>200</v>
      </c>
      <c r="AI166" s="248"/>
      <c r="AJ166"/>
      <c r="AK166" s="72">
        <v>168</v>
      </c>
      <c r="AL166" s="248" t="s">
        <v>200</v>
      </c>
      <c r="AM166" s="248"/>
      <c r="AN166" s="248" t="s">
        <v>200</v>
      </c>
      <c r="AO166" s="248" t="s">
        <v>200</v>
      </c>
      <c r="AP166" s="248" t="s">
        <v>200</v>
      </c>
      <c r="AQ166" s="248" t="s">
        <v>200</v>
      </c>
      <c r="AR166" s="248" t="s">
        <v>200</v>
      </c>
      <c r="AS166" s="248" t="s">
        <v>200</v>
      </c>
      <c r="AT166" s="248" t="s">
        <v>200</v>
      </c>
      <c r="AU166" s="248"/>
      <c r="AV166"/>
    </row>
    <row r="167" spans="13:59">
      <c r="M167" s="75">
        <v>168</v>
      </c>
      <c r="N167" s="72" t="s">
        <v>128</v>
      </c>
      <c r="O167" s="72" t="s">
        <v>753</v>
      </c>
      <c r="P167" s="72" t="s">
        <v>215</v>
      </c>
      <c r="Q167" s="72" t="s">
        <v>104</v>
      </c>
      <c r="R167" s="72" t="s">
        <v>206</v>
      </c>
      <c r="S167" s="72">
        <v>11</v>
      </c>
      <c r="T167" s="72">
        <v>1250</v>
      </c>
      <c r="U167" s="72">
        <v>3000</v>
      </c>
      <c r="V167" s="72">
        <v>15000</v>
      </c>
      <c r="W167" s="72" t="s">
        <v>270</v>
      </c>
      <c r="X167"/>
      <c r="Y167" s="72">
        <v>166</v>
      </c>
      <c r="Z167" s="248" t="s">
        <v>200</v>
      </c>
      <c r="AA167" s="248"/>
      <c r="AB167" s="248" t="s">
        <v>200</v>
      </c>
      <c r="AC167" s="248" t="s">
        <v>200</v>
      </c>
      <c r="AD167" s="248" t="s">
        <v>200</v>
      </c>
      <c r="AE167" s="248" t="s">
        <v>200</v>
      </c>
      <c r="AF167" s="248" t="s">
        <v>200</v>
      </c>
      <c r="AG167" s="248" t="s">
        <v>200</v>
      </c>
      <c r="AH167" s="248" t="s">
        <v>200</v>
      </c>
      <c r="AI167" s="248"/>
      <c r="AJ167"/>
      <c r="AK167" s="72">
        <v>169</v>
      </c>
      <c r="AL167" s="248" t="s">
        <v>200</v>
      </c>
      <c r="AM167" s="248"/>
      <c r="AN167" s="248" t="s">
        <v>200</v>
      </c>
      <c r="AO167" s="248" t="s">
        <v>200</v>
      </c>
      <c r="AP167" s="248" t="s">
        <v>200</v>
      </c>
      <c r="AQ167" s="248" t="s">
        <v>200</v>
      </c>
      <c r="AR167" s="248" t="s">
        <v>200</v>
      </c>
      <c r="AS167" s="248" t="s">
        <v>200</v>
      </c>
      <c r="AT167" s="248" t="s">
        <v>200</v>
      </c>
      <c r="AU167" s="248"/>
      <c r="AV167"/>
    </row>
    <row r="168" spans="13:59">
      <c r="M168" s="75">
        <v>170</v>
      </c>
      <c r="N168" s="72" t="s">
        <v>128</v>
      </c>
      <c r="O168" s="72" t="s">
        <v>754</v>
      </c>
      <c r="P168" s="72" t="s">
        <v>215</v>
      </c>
      <c r="Q168" s="72" t="s">
        <v>104</v>
      </c>
      <c r="R168" s="72" t="s">
        <v>206</v>
      </c>
      <c r="S168" s="72">
        <v>7</v>
      </c>
      <c r="T168" s="72">
        <v>680</v>
      </c>
      <c r="U168" s="72">
        <v>3000</v>
      </c>
      <c r="V168" s="72">
        <v>15000</v>
      </c>
      <c r="W168" s="72" t="s">
        <v>270</v>
      </c>
      <c r="X168"/>
      <c r="Y168" s="72">
        <v>167</v>
      </c>
      <c r="Z168" s="248" t="s">
        <v>200</v>
      </c>
      <c r="AA168" s="248"/>
      <c r="AB168" s="248" t="s">
        <v>200</v>
      </c>
      <c r="AC168" s="248" t="s">
        <v>200</v>
      </c>
      <c r="AD168" s="248" t="s">
        <v>200</v>
      </c>
      <c r="AE168" s="248" t="s">
        <v>200</v>
      </c>
      <c r="AF168" s="248" t="s">
        <v>200</v>
      </c>
      <c r="AG168" s="248" t="s">
        <v>200</v>
      </c>
      <c r="AH168" s="248" t="s">
        <v>200</v>
      </c>
      <c r="AI168" s="248"/>
      <c r="AJ168"/>
      <c r="AK168" s="72">
        <v>170</v>
      </c>
      <c r="AL168" s="248" t="s">
        <v>200</v>
      </c>
      <c r="AM168" s="248"/>
      <c r="AN168" s="248" t="s">
        <v>200</v>
      </c>
      <c r="AO168" s="248" t="s">
        <v>200</v>
      </c>
      <c r="AP168" s="248" t="s">
        <v>200</v>
      </c>
      <c r="AQ168" s="248" t="s">
        <v>200</v>
      </c>
      <c r="AR168" s="248" t="s">
        <v>200</v>
      </c>
      <c r="AS168" s="248" t="s">
        <v>200</v>
      </c>
      <c r="AT168" s="248" t="s">
        <v>200</v>
      </c>
      <c r="AU168" s="248"/>
      <c r="AV168"/>
    </row>
    <row r="169" spans="13:59">
      <c r="M169" s="75">
        <v>171</v>
      </c>
      <c r="N169" s="72" t="s">
        <v>128</v>
      </c>
      <c r="O169" s="72" t="s">
        <v>755</v>
      </c>
      <c r="P169" s="72" t="s">
        <v>215</v>
      </c>
      <c r="Q169" s="72" t="s">
        <v>104</v>
      </c>
      <c r="R169" s="72" t="s">
        <v>206</v>
      </c>
      <c r="S169" s="72">
        <v>7</v>
      </c>
      <c r="T169" s="72">
        <v>720</v>
      </c>
      <c r="U169" s="72">
        <v>6500</v>
      </c>
      <c r="V169" s="72">
        <v>15000</v>
      </c>
      <c r="W169" s="72" t="s">
        <v>270</v>
      </c>
      <c r="X169"/>
      <c r="Y169" s="72">
        <v>168</v>
      </c>
      <c r="Z169" s="248" t="s">
        <v>200</v>
      </c>
      <c r="AA169" s="248"/>
      <c r="AB169" s="248" t="s">
        <v>200</v>
      </c>
      <c r="AC169" s="248" t="s">
        <v>200</v>
      </c>
      <c r="AD169" s="248" t="s">
        <v>200</v>
      </c>
      <c r="AE169" s="248" t="s">
        <v>200</v>
      </c>
      <c r="AF169" s="248" t="s">
        <v>200</v>
      </c>
      <c r="AG169" s="248" t="s">
        <v>200</v>
      </c>
      <c r="AH169" s="248" t="s">
        <v>200</v>
      </c>
      <c r="AI169" s="248"/>
      <c r="AJ169"/>
      <c r="AK169" s="72">
        <v>171</v>
      </c>
      <c r="AL169" s="248" t="s">
        <v>200</v>
      </c>
      <c r="AM169" s="248"/>
      <c r="AN169" s="248" t="s">
        <v>200</v>
      </c>
      <c r="AO169" s="248" t="s">
        <v>200</v>
      </c>
      <c r="AP169" s="248" t="s">
        <v>200</v>
      </c>
      <c r="AQ169" s="248" t="s">
        <v>200</v>
      </c>
      <c r="AR169" s="248" t="s">
        <v>200</v>
      </c>
      <c r="AS169" s="248" t="s">
        <v>200</v>
      </c>
      <c r="AT169" s="248" t="s">
        <v>200</v>
      </c>
      <c r="AU169" s="248"/>
      <c r="AV169"/>
    </row>
    <row r="170" spans="13:59">
      <c r="M170" s="75">
        <v>172</v>
      </c>
      <c r="N170" s="72" t="s">
        <v>128</v>
      </c>
      <c r="O170" s="72" t="s">
        <v>756</v>
      </c>
      <c r="P170" s="72" t="s">
        <v>215</v>
      </c>
      <c r="Q170" s="72" t="s">
        <v>104</v>
      </c>
      <c r="R170" s="72" t="s">
        <v>206</v>
      </c>
      <c r="S170" s="72">
        <v>9</v>
      </c>
      <c r="T170" s="72">
        <v>900</v>
      </c>
      <c r="U170" s="72">
        <v>3000</v>
      </c>
      <c r="V170" s="72">
        <v>15000</v>
      </c>
      <c r="W170" s="72" t="s">
        <v>270</v>
      </c>
      <c r="X170"/>
      <c r="Y170" s="72">
        <v>169</v>
      </c>
      <c r="Z170" s="248" t="s">
        <v>200</v>
      </c>
      <c r="AA170" s="248"/>
      <c r="AB170" s="248" t="s">
        <v>200</v>
      </c>
      <c r="AC170" s="248" t="s">
        <v>200</v>
      </c>
      <c r="AD170" s="248" t="s">
        <v>200</v>
      </c>
      <c r="AE170" s="248" t="s">
        <v>200</v>
      </c>
      <c r="AF170" s="248" t="s">
        <v>200</v>
      </c>
      <c r="AG170" s="248" t="s">
        <v>200</v>
      </c>
      <c r="AH170" s="248" t="s">
        <v>200</v>
      </c>
      <c r="AI170" s="248"/>
      <c r="AJ170"/>
      <c r="AK170" s="72">
        <v>172</v>
      </c>
      <c r="AL170" s="248" t="s">
        <v>200</v>
      </c>
      <c r="AM170" s="248"/>
      <c r="AN170" s="248" t="s">
        <v>200</v>
      </c>
      <c r="AO170" s="248" t="s">
        <v>200</v>
      </c>
      <c r="AP170" s="248" t="s">
        <v>200</v>
      </c>
      <c r="AQ170" s="248" t="s">
        <v>200</v>
      </c>
      <c r="AR170" s="248" t="s">
        <v>200</v>
      </c>
      <c r="AS170" s="248" t="s">
        <v>200</v>
      </c>
      <c r="AT170" s="248" t="s">
        <v>200</v>
      </c>
      <c r="AU170" s="248"/>
      <c r="AV170"/>
    </row>
    <row r="171" spans="13:59">
      <c r="M171" s="75">
        <v>173</v>
      </c>
      <c r="N171" s="72" t="s">
        <v>128</v>
      </c>
      <c r="O171" s="72" t="s">
        <v>757</v>
      </c>
      <c r="P171" s="72" t="s">
        <v>215</v>
      </c>
      <c r="Q171" s="72" t="s">
        <v>104</v>
      </c>
      <c r="R171" s="72" t="s">
        <v>206</v>
      </c>
      <c r="S171" s="72">
        <v>9</v>
      </c>
      <c r="T171" s="72">
        <v>950</v>
      </c>
      <c r="U171" s="72">
        <v>6500</v>
      </c>
      <c r="V171" s="72">
        <v>15000</v>
      </c>
      <c r="W171" s="72" t="s">
        <v>270</v>
      </c>
      <c r="X171"/>
      <c r="Y171" s="72">
        <v>170</v>
      </c>
      <c r="Z171" s="248" t="s">
        <v>200</v>
      </c>
      <c r="AA171" s="248"/>
      <c r="AB171" s="248" t="s">
        <v>200</v>
      </c>
      <c r="AC171" s="248" t="s">
        <v>200</v>
      </c>
      <c r="AD171" s="248" t="s">
        <v>200</v>
      </c>
      <c r="AE171" s="248" t="s">
        <v>200</v>
      </c>
      <c r="AF171" s="248" t="s">
        <v>200</v>
      </c>
      <c r="AG171" s="248" t="s">
        <v>200</v>
      </c>
      <c r="AH171" s="248" t="s">
        <v>200</v>
      </c>
      <c r="AI171" s="248"/>
      <c r="AJ171"/>
      <c r="AK171" s="72">
        <v>173</v>
      </c>
      <c r="AL171" s="248" t="s">
        <v>200</v>
      </c>
      <c r="AM171" s="248"/>
      <c r="AN171" s="248" t="s">
        <v>200</v>
      </c>
      <c r="AO171" s="248" t="s">
        <v>200</v>
      </c>
      <c r="AP171" s="248" t="s">
        <v>200</v>
      </c>
      <c r="AQ171" s="248" t="s">
        <v>200</v>
      </c>
      <c r="AR171" s="248" t="s">
        <v>200</v>
      </c>
      <c r="AS171" s="248" t="s">
        <v>200</v>
      </c>
      <c r="AT171" s="248" t="s">
        <v>200</v>
      </c>
      <c r="AU171" s="248"/>
      <c r="AV171"/>
    </row>
    <row r="172" spans="13:59">
      <c r="M172" s="75">
        <v>174</v>
      </c>
      <c r="N172" s="72" t="s">
        <v>121</v>
      </c>
      <c r="O172" s="72" t="s">
        <v>758</v>
      </c>
      <c r="P172" s="72" t="s">
        <v>215</v>
      </c>
      <c r="Q172" s="72" t="s">
        <v>104</v>
      </c>
      <c r="R172" s="72" t="s">
        <v>206</v>
      </c>
      <c r="S172" s="72">
        <v>12</v>
      </c>
      <c r="T172" s="72">
        <v>1150</v>
      </c>
      <c r="U172" s="72">
        <v>3000</v>
      </c>
      <c r="V172" s="72">
        <v>15000</v>
      </c>
      <c r="W172" s="72" t="s">
        <v>270</v>
      </c>
      <c r="X172"/>
      <c r="Y172" s="72">
        <v>171</v>
      </c>
      <c r="Z172" s="248" t="s">
        <v>200</v>
      </c>
      <c r="AA172" s="248"/>
      <c r="AB172" s="248" t="s">
        <v>200</v>
      </c>
      <c r="AC172" s="248" t="s">
        <v>200</v>
      </c>
      <c r="AD172" s="248" t="s">
        <v>200</v>
      </c>
      <c r="AE172" s="248" t="s">
        <v>200</v>
      </c>
      <c r="AF172" s="248" t="s">
        <v>200</v>
      </c>
      <c r="AG172" s="248" t="s">
        <v>200</v>
      </c>
      <c r="AH172" s="248" t="s">
        <v>200</v>
      </c>
      <c r="AI172" s="248"/>
      <c r="AJ172"/>
      <c r="AK172" s="72">
        <v>174</v>
      </c>
      <c r="AL172" s="248" t="s">
        <v>200</v>
      </c>
      <c r="AM172" s="248"/>
      <c r="AN172" s="248" t="s">
        <v>200</v>
      </c>
      <c r="AO172" s="248" t="s">
        <v>200</v>
      </c>
      <c r="AP172" s="248" t="s">
        <v>200</v>
      </c>
      <c r="AQ172" s="248" t="s">
        <v>200</v>
      </c>
      <c r="AR172" s="248" t="s">
        <v>200</v>
      </c>
      <c r="AS172" s="248" t="s">
        <v>200</v>
      </c>
      <c r="AT172" s="248" t="s">
        <v>200</v>
      </c>
      <c r="AU172" s="248"/>
      <c r="AV172"/>
    </row>
    <row r="173" spans="13:59">
      <c r="M173" s="75">
        <v>175</v>
      </c>
      <c r="N173" s="72" t="s">
        <v>121</v>
      </c>
      <c r="O173" s="72" t="s">
        <v>759</v>
      </c>
      <c r="P173" s="72" t="s">
        <v>215</v>
      </c>
      <c r="Q173" s="72" t="s">
        <v>104</v>
      </c>
      <c r="R173" s="72" t="s">
        <v>206</v>
      </c>
      <c r="S173" s="72">
        <v>12</v>
      </c>
      <c r="T173" s="72">
        <v>1250</v>
      </c>
      <c r="U173" s="72">
        <v>6500</v>
      </c>
      <c r="V173" s="72">
        <v>15000</v>
      </c>
      <c r="W173" s="72" t="s">
        <v>270</v>
      </c>
      <c r="X173"/>
      <c r="Y173" s="72">
        <v>172</v>
      </c>
      <c r="Z173" s="248" t="s">
        <v>200</v>
      </c>
      <c r="AA173" s="248"/>
      <c r="AB173" s="248" t="s">
        <v>200</v>
      </c>
      <c r="AC173" s="248" t="s">
        <v>200</v>
      </c>
      <c r="AD173" s="248" t="s">
        <v>200</v>
      </c>
      <c r="AE173" s="248" t="s">
        <v>200</v>
      </c>
      <c r="AF173" s="248" t="s">
        <v>200</v>
      </c>
      <c r="AG173" s="248" t="s">
        <v>200</v>
      </c>
      <c r="AH173" s="248" t="s">
        <v>200</v>
      </c>
      <c r="AI173" s="248"/>
      <c r="AJ173"/>
      <c r="AV173"/>
    </row>
    <row r="174" spans="13:59">
      <c r="M174" s="75">
        <v>176</v>
      </c>
      <c r="N174" s="72" t="s">
        <v>120</v>
      </c>
      <c r="O174" s="72" t="s">
        <v>760</v>
      </c>
      <c r="P174" s="72" t="s">
        <v>215</v>
      </c>
      <c r="Q174" s="72" t="s">
        <v>404</v>
      </c>
      <c r="R174" s="72" t="s">
        <v>206</v>
      </c>
      <c r="S174" s="72">
        <v>4.5999999999999996</v>
      </c>
      <c r="T174" s="72">
        <v>410</v>
      </c>
      <c r="U174" s="72">
        <v>3000</v>
      </c>
      <c r="V174" s="72">
        <v>15000</v>
      </c>
      <c r="W174" s="72" t="s">
        <v>270</v>
      </c>
      <c r="X174"/>
      <c r="Y174" s="72">
        <v>173</v>
      </c>
      <c r="Z174" s="248" t="s">
        <v>200</v>
      </c>
      <c r="AA174" s="248"/>
      <c r="AB174" s="248" t="s">
        <v>200</v>
      </c>
      <c r="AC174" s="248" t="s">
        <v>200</v>
      </c>
      <c r="AD174" s="248" t="s">
        <v>200</v>
      </c>
      <c r="AE174" s="248" t="s">
        <v>200</v>
      </c>
      <c r="AF174" s="248" t="s">
        <v>200</v>
      </c>
      <c r="AG174" s="248" t="s">
        <v>200</v>
      </c>
      <c r="AH174" s="248" t="s">
        <v>200</v>
      </c>
      <c r="AI174" s="248"/>
      <c r="AJ174"/>
      <c r="AV174"/>
    </row>
    <row r="175" spans="13:59">
      <c r="M175" s="75">
        <v>177</v>
      </c>
      <c r="N175" s="72" t="s">
        <v>129</v>
      </c>
      <c r="O175" s="72" t="s">
        <v>761</v>
      </c>
      <c r="P175" s="72" t="s">
        <v>215</v>
      </c>
      <c r="Q175" s="72" t="s">
        <v>108</v>
      </c>
      <c r="R175" s="72" t="s">
        <v>206</v>
      </c>
      <c r="S175" s="72">
        <v>6.5</v>
      </c>
      <c r="T175" s="72">
        <v>470</v>
      </c>
      <c r="U175" s="72">
        <v>2700</v>
      </c>
      <c r="V175" s="72">
        <v>15000</v>
      </c>
      <c r="W175" s="72" t="s">
        <v>270</v>
      </c>
      <c r="X175"/>
      <c r="Y175" s="72">
        <v>174</v>
      </c>
      <c r="Z175" s="248" t="s">
        <v>200</v>
      </c>
      <c r="AA175" s="248"/>
      <c r="AB175" s="248" t="s">
        <v>200</v>
      </c>
      <c r="AC175" s="248" t="s">
        <v>200</v>
      </c>
      <c r="AD175" s="248" t="s">
        <v>200</v>
      </c>
      <c r="AE175" s="248" t="s">
        <v>200</v>
      </c>
      <c r="AF175" s="248" t="s">
        <v>200</v>
      </c>
      <c r="AG175" s="248" t="s">
        <v>200</v>
      </c>
      <c r="AH175" s="248" t="s">
        <v>200</v>
      </c>
      <c r="AI175" s="248"/>
      <c r="AJ175"/>
      <c r="AV175"/>
    </row>
    <row r="176" spans="13:59">
      <c r="M176" s="75">
        <v>178</v>
      </c>
      <c r="N176" s="72" t="s">
        <v>135</v>
      </c>
      <c r="O176" s="72" t="s">
        <v>762</v>
      </c>
      <c r="P176" s="72" t="s">
        <v>215</v>
      </c>
      <c r="Q176" s="72" t="s">
        <v>104</v>
      </c>
      <c r="R176" s="72" t="s">
        <v>206</v>
      </c>
      <c r="S176" s="72">
        <v>35</v>
      </c>
      <c r="T176" s="72">
        <v>4000</v>
      </c>
      <c r="U176" s="72">
        <v>3000</v>
      </c>
      <c r="V176" s="72">
        <v>15000</v>
      </c>
      <c r="W176" s="72" t="s">
        <v>270</v>
      </c>
      <c r="X176"/>
      <c r="Y176" s="72">
        <v>175</v>
      </c>
      <c r="Z176" s="248" t="s">
        <v>200</v>
      </c>
      <c r="AA176" s="248"/>
      <c r="AB176" s="248" t="s">
        <v>200</v>
      </c>
      <c r="AC176" s="248" t="s">
        <v>200</v>
      </c>
      <c r="AD176" s="248" t="s">
        <v>200</v>
      </c>
      <c r="AE176" s="248" t="s">
        <v>200</v>
      </c>
      <c r="AF176" s="248" t="s">
        <v>200</v>
      </c>
      <c r="AG176" s="248" t="s">
        <v>200</v>
      </c>
      <c r="AH176" s="248" t="s">
        <v>200</v>
      </c>
      <c r="AI176" s="248"/>
      <c r="AJ176"/>
      <c r="AV176"/>
    </row>
    <row r="177" spans="13:35">
      <c r="M177" s="75">
        <v>179</v>
      </c>
      <c r="N177" s="72" t="s">
        <v>135</v>
      </c>
      <c r="O177" s="72" t="s">
        <v>763</v>
      </c>
      <c r="P177" s="72" t="s">
        <v>215</v>
      </c>
      <c r="Q177" s="72" t="s">
        <v>104</v>
      </c>
      <c r="R177" s="72" t="s">
        <v>206</v>
      </c>
      <c r="S177" s="72">
        <v>35</v>
      </c>
      <c r="T177" s="72">
        <v>3700</v>
      </c>
      <c r="U177" s="72">
        <v>6500</v>
      </c>
      <c r="V177" s="72">
        <v>15000</v>
      </c>
      <c r="W177" s="72" t="s">
        <v>270</v>
      </c>
      <c r="Y177" s="72">
        <v>176</v>
      </c>
      <c r="Z177" s="248" t="s">
        <v>200</v>
      </c>
      <c r="AA177" s="248"/>
      <c r="AB177" s="248" t="s">
        <v>200</v>
      </c>
      <c r="AC177" s="248" t="s">
        <v>200</v>
      </c>
      <c r="AD177" s="248" t="s">
        <v>200</v>
      </c>
      <c r="AE177" s="248" t="s">
        <v>200</v>
      </c>
      <c r="AF177" s="248" t="s">
        <v>200</v>
      </c>
      <c r="AG177" s="248" t="s">
        <v>200</v>
      </c>
      <c r="AH177" s="248" t="s">
        <v>200</v>
      </c>
      <c r="AI177" s="248"/>
    </row>
    <row r="178" spans="13:35">
      <c r="M178" s="75">
        <v>180</v>
      </c>
      <c r="N178" s="72" t="s">
        <v>135</v>
      </c>
      <c r="O178" s="72" t="s">
        <v>764</v>
      </c>
      <c r="P178" s="72" t="s">
        <v>215</v>
      </c>
      <c r="Q178" s="72" t="s">
        <v>104</v>
      </c>
      <c r="R178" s="72" t="s">
        <v>206</v>
      </c>
      <c r="S178" s="72">
        <v>42</v>
      </c>
      <c r="T178" s="72">
        <v>4800</v>
      </c>
      <c r="U178" s="72">
        <v>3000</v>
      </c>
      <c r="V178" s="72">
        <v>15000</v>
      </c>
      <c r="W178" s="72" t="s">
        <v>270</v>
      </c>
      <c r="Y178" s="72">
        <v>177</v>
      </c>
      <c r="Z178" s="248" t="s">
        <v>200</v>
      </c>
      <c r="AA178" s="248"/>
      <c r="AB178" s="248" t="s">
        <v>200</v>
      </c>
      <c r="AC178" s="248" t="s">
        <v>200</v>
      </c>
      <c r="AD178" s="248" t="s">
        <v>200</v>
      </c>
      <c r="AE178" s="248" t="s">
        <v>200</v>
      </c>
      <c r="AF178" s="248" t="s">
        <v>200</v>
      </c>
      <c r="AG178" s="248" t="s">
        <v>200</v>
      </c>
      <c r="AH178" s="248" t="s">
        <v>200</v>
      </c>
      <c r="AI178" s="248"/>
    </row>
    <row r="179" spans="13:35">
      <c r="M179" s="75">
        <v>181</v>
      </c>
      <c r="N179" s="72" t="s">
        <v>135</v>
      </c>
      <c r="O179" s="72" t="s">
        <v>765</v>
      </c>
      <c r="P179" s="72" t="s">
        <v>215</v>
      </c>
      <c r="Q179" s="72" t="s">
        <v>104</v>
      </c>
      <c r="R179" s="72" t="s">
        <v>206</v>
      </c>
      <c r="S179" s="72">
        <v>42</v>
      </c>
      <c r="T179" s="72">
        <v>5000</v>
      </c>
      <c r="U179" s="72">
        <v>6500</v>
      </c>
      <c r="V179" s="72">
        <v>15000</v>
      </c>
      <c r="W179" s="72" t="s">
        <v>270</v>
      </c>
      <c r="Y179" s="72">
        <v>178</v>
      </c>
      <c r="Z179" s="248" t="s">
        <v>200</v>
      </c>
      <c r="AA179" s="248"/>
      <c r="AB179" s="248" t="s">
        <v>200</v>
      </c>
      <c r="AC179" s="248" t="s">
        <v>200</v>
      </c>
      <c r="AD179" s="248" t="s">
        <v>200</v>
      </c>
      <c r="AE179" s="248" t="s">
        <v>200</v>
      </c>
      <c r="AF179" s="248" t="s">
        <v>200</v>
      </c>
      <c r="AG179" s="248" t="s">
        <v>200</v>
      </c>
      <c r="AH179" s="248" t="s">
        <v>200</v>
      </c>
      <c r="AI179" s="248"/>
    </row>
    <row r="180" spans="13:35">
      <c r="M180" s="75">
        <v>182</v>
      </c>
      <c r="N180" s="72" t="s">
        <v>135</v>
      </c>
      <c r="O180" s="72" t="s">
        <v>839</v>
      </c>
      <c r="P180" s="72" t="s">
        <v>215</v>
      </c>
      <c r="Q180" s="72" t="s">
        <v>104</v>
      </c>
      <c r="R180" s="72" t="s">
        <v>206</v>
      </c>
      <c r="S180" s="72">
        <v>21</v>
      </c>
      <c r="T180" s="72">
        <v>3000</v>
      </c>
      <c r="U180" s="72">
        <v>3000</v>
      </c>
      <c r="V180" s="72">
        <v>50000</v>
      </c>
      <c r="W180" s="72" t="s">
        <v>270</v>
      </c>
      <c r="Y180" s="72">
        <v>179</v>
      </c>
      <c r="Z180" s="248" t="s">
        <v>200</v>
      </c>
      <c r="AA180" s="248"/>
      <c r="AB180" s="248" t="s">
        <v>200</v>
      </c>
      <c r="AC180" s="248" t="s">
        <v>200</v>
      </c>
      <c r="AD180" s="248" t="s">
        <v>200</v>
      </c>
      <c r="AE180" s="248" t="s">
        <v>200</v>
      </c>
      <c r="AF180" s="248" t="s">
        <v>200</v>
      </c>
      <c r="AG180" s="248" t="s">
        <v>200</v>
      </c>
      <c r="AH180" s="248" t="s">
        <v>200</v>
      </c>
      <c r="AI180" s="248"/>
    </row>
    <row r="181" spans="13:35">
      <c r="M181" s="75">
        <v>183</v>
      </c>
      <c r="N181" s="72" t="s">
        <v>135</v>
      </c>
      <c r="O181" s="72" t="s">
        <v>840</v>
      </c>
      <c r="P181" s="72" t="s">
        <v>215</v>
      </c>
      <c r="Q181" s="72" t="s">
        <v>104</v>
      </c>
      <c r="R181" s="72" t="s">
        <v>206</v>
      </c>
      <c r="S181" s="72">
        <v>21</v>
      </c>
      <c r="T181" s="72">
        <v>3000</v>
      </c>
      <c r="U181" s="72">
        <v>4000</v>
      </c>
      <c r="V181" s="72">
        <v>50000</v>
      </c>
      <c r="W181" s="72" t="s">
        <v>270</v>
      </c>
      <c r="Y181" s="72">
        <v>180</v>
      </c>
      <c r="Z181" s="248" t="s">
        <v>200</v>
      </c>
      <c r="AA181" s="248"/>
      <c r="AB181" s="248" t="s">
        <v>200</v>
      </c>
      <c r="AC181" s="248" t="s">
        <v>200</v>
      </c>
      <c r="AD181" s="248" t="s">
        <v>200</v>
      </c>
      <c r="AE181" s="248" t="s">
        <v>200</v>
      </c>
      <c r="AF181" s="248" t="s">
        <v>200</v>
      </c>
      <c r="AG181" s="248" t="s">
        <v>200</v>
      </c>
      <c r="AH181" s="248" t="s">
        <v>200</v>
      </c>
      <c r="AI181" s="248"/>
    </row>
    <row r="182" spans="13:35">
      <c r="M182" s="75">
        <v>184</v>
      </c>
      <c r="N182" s="72" t="s">
        <v>135</v>
      </c>
      <c r="O182" s="72" t="s">
        <v>841</v>
      </c>
      <c r="P182" s="72" t="s">
        <v>215</v>
      </c>
      <c r="Q182" s="72" t="s">
        <v>104</v>
      </c>
      <c r="R182" s="72" t="s">
        <v>206</v>
      </c>
      <c r="S182" s="72">
        <v>28</v>
      </c>
      <c r="T182" s="72">
        <v>4000</v>
      </c>
      <c r="U182" s="72">
        <v>3000</v>
      </c>
      <c r="V182" s="72">
        <v>50000</v>
      </c>
      <c r="W182" s="72" t="s">
        <v>270</v>
      </c>
      <c r="Y182" s="72">
        <v>181</v>
      </c>
      <c r="Z182" s="248" t="s">
        <v>200</v>
      </c>
      <c r="AA182" s="248"/>
      <c r="AB182" s="248" t="s">
        <v>200</v>
      </c>
      <c r="AC182" s="248" t="s">
        <v>200</v>
      </c>
      <c r="AD182" s="248" t="s">
        <v>200</v>
      </c>
      <c r="AE182" s="248" t="s">
        <v>200</v>
      </c>
      <c r="AF182" s="248" t="s">
        <v>200</v>
      </c>
      <c r="AG182" s="248" t="s">
        <v>200</v>
      </c>
      <c r="AH182" s="248" t="s">
        <v>200</v>
      </c>
      <c r="AI182" s="248"/>
    </row>
    <row r="183" spans="13:35">
      <c r="M183" s="75">
        <v>185</v>
      </c>
      <c r="N183" s="72" t="s">
        <v>135</v>
      </c>
      <c r="O183" s="72" t="s">
        <v>842</v>
      </c>
      <c r="P183" s="72" t="s">
        <v>215</v>
      </c>
      <c r="Q183" s="72" t="s">
        <v>104</v>
      </c>
      <c r="R183" s="72" t="s">
        <v>206</v>
      </c>
      <c r="S183" s="72">
        <v>28</v>
      </c>
      <c r="T183" s="72">
        <v>4000</v>
      </c>
      <c r="U183" s="72">
        <v>4000</v>
      </c>
      <c r="V183" s="72">
        <v>50000</v>
      </c>
      <c r="W183" s="72" t="s">
        <v>270</v>
      </c>
      <c r="Y183" s="72">
        <v>182</v>
      </c>
      <c r="Z183" s="248" t="s">
        <v>200</v>
      </c>
      <c r="AA183" s="248"/>
      <c r="AB183" s="248" t="s">
        <v>200</v>
      </c>
      <c r="AC183" s="248" t="s">
        <v>200</v>
      </c>
      <c r="AD183" s="248" t="s">
        <v>200</v>
      </c>
      <c r="AE183" s="248" t="s">
        <v>200</v>
      </c>
      <c r="AF183" s="248" t="s">
        <v>200</v>
      </c>
      <c r="AG183" s="248" t="s">
        <v>200</v>
      </c>
      <c r="AH183" s="248" t="s">
        <v>200</v>
      </c>
      <c r="AI183" s="248"/>
    </row>
    <row r="184" spans="13:35">
      <c r="M184" s="75">
        <v>186</v>
      </c>
      <c r="N184" s="72" t="s">
        <v>135</v>
      </c>
      <c r="O184" s="72" t="s">
        <v>843</v>
      </c>
      <c r="P184" s="72" t="s">
        <v>215</v>
      </c>
      <c r="Q184" s="72" t="s">
        <v>104</v>
      </c>
      <c r="R184" s="72" t="s">
        <v>206</v>
      </c>
      <c r="S184" s="72">
        <v>42</v>
      </c>
      <c r="T184" s="72">
        <v>6000</v>
      </c>
      <c r="U184" s="72">
        <v>3000</v>
      </c>
      <c r="V184" s="72">
        <v>50000</v>
      </c>
      <c r="W184" s="72" t="s">
        <v>270</v>
      </c>
      <c r="Y184" s="72">
        <v>183</v>
      </c>
      <c r="Z184" s="248" t="s">
        <v>200</v>
      </c>
      <c r="AA184" s="248"/>
      <c r="AB184" s="248" t="s">
        <v>200</v>
      </c>
      <c r="AC184" s="248" t="s">
        <v>200</v>
      </c>
      <c r="AD184" s="248" t="s">
        <v>200</v>
      </c>
      <c r="AE184" s="248" t="s">
        <v>200</v>
      </c>
      <c r="AF184" s="248" t="s">
        <v>200</v>
      </c>
      <c r="AG184" s="248" t="s">
        <v>200</v>
      </c>
      <c r="AH184" s="248" t="s">
        <v>200</v>
      </c>
      <c r="AI184" s="248"/>
    </row>
    <row r="185" spans="13:35">
      <c r="M185" s="75">
        <v>187</v>
      </c>
      <c r="N185" s="72" t="s">
        <v>135</v>
      </c>
      <c r="O185" s="72" t="s">
        <v>844</v>
      </c>
      <c r="P185" s="72" t="s">
        <v>215</v>
      </c>
      <c r="Q185" s="72" t="s">
        <v>104</v>
      </c>
      <c r="R185" s="72" t="s">
        <v>206</v>
      </c>
      <c r="S185" s="72">
        <v>42</v>
      </c>
      <c r="T185" s="72">
        <v>6000</v>
      </c>
      <c r="U185" s="72">
        <v>4000</v>
      </c>
      <c r="V185" s="72">
        <v>50000</v>
      </c>
      <c r="W185" s="72" t="s">
        <v>270</v>
      </c>
      <c r="Y185" s="72">
        <v>184</v>
      </c>
      <c r="Z185" s="248" t="s">
        <v>200</v>
      </c>
      <c r="AA185" s="248"/>
      <c r="AB185" s="248" t="s">
        <v>200</v>
      </c>
      <c r="AC185" s="248" t="s">
        <v>200</v>
      </c>
      <c r="AD185" s="248" t="s">
        <v>200</v>
      </c>
      <c r="AE185" s="248" t="s">
        <v>200</v>
      </c>
      <c r="AF185" s="248" t="s">
        <v>200</v>
      </c>
      <c r="AG185" s="248" t="s">
        <v>200</v>
      </c>
      <c r="AH185" s="248" t="s">
        <v>200</v>
      </c>
      <c r="AI185" s="248"/>
    </row>
    <row r="186" spans="13:35">
      <c r="M186" s="75">
        <v>188</v>
      </c>
      <c r="N186" s="72" t="s">
        <v>135</v>
      </c>
      <c r="O186" s="72" t="s">
        <v>845</v>
      </c>
      <c r="P186" s="72" t="s">
        <v>215</v>
      </c>
      <c r="Q186" s="72" t="s">
        <v>105</v>
      </c>
      <c r="R186" s="72" t="s">
        <v>206</v>
      </c>
      <c r="S186" s="72">
        <v>42</v>
      </c>
      <c r="T186" s="72">
        <v>6000</v>
      </c>
      <c r="U186" s="72">
        <v>3000</v>
      </c>
      <c r="V186" s="72">
        <v>50000</v>
      </c>
      <c r="W186" s="72" t="s">
        <v>270</v>
      </c>
      <c r="Y186" s="72">
        <v>185</v>
      </c>
      <c r="Z186" s="248" t="s">
        <v>200</v>
      </c>
      <c r="AA186" s="248"/>
      <c r="AB186" s="248" t="s">
        <v>200</v>
      </c>
      <c r="AC186" s="248" t="s">
        <v>200</v>
      </c>
      <c r="AD186" s="248" t="s">
        <v>200</v>
      </c>
      <c r="AE186" s="248" t="s">
        <v>200</v>
      </c>
      <c r="AF186" s="248" t="s">
        <v>200</v>
      </c>
      <c r="AG186" s="248" t="s">
        <v>200</v>
      </c>
      <c r="AH186" s="248" t="s">
        <v>200</v>
      </c>
      <c r="AI186" s="248"/>
    </row>
    <row r="187" spans="13:35">
      <c r="M187" s="75">
        <v>189</v>
      </c>
      <c r="N187" s="72" t="s">
        <v>135</v>
      </c>
      <c r="O187" s="72" t="s">
        <v>846</v>
      </c>
      <c r="P187" s="72" t="s">
        <v>215</v>
      </c>
      <c r="Q187" s="72" t="s">
        <v>105</v>
      </c>
      <c r="R187" s="72" t="s">
        <v>206</v>
      </c>
      <c r="S187" s="72">
        <v>42</v>
      </c>
      <c r="T187" s="72">
        <v>6000</v>
      </c>
      <c r="U187" s="72">
        <v>4000</v>
      </c>
      <c r="V187" s="72">
        <v>50000</v>
      </c>
      <c r="W187" s="72" t="s">
        <v>270</v>
      </c>
      <c r="Y187" s="72">
        <v>186</v>
      </c>
      <c r="Z187" s="248" t="s">
        <v>200</v>
      </c>
      <c r="AA187" s="248"/>
      <c r="AB187" s="248" t="s">
        <v>200</v>
      </c>
      <c r="AC187" s="248" t="s">
        <v>200</v>
      </c>
      <c r="AD187" s="248" t="s">
        <v>200</v>
      </c>
      <c r="AE187" s="248" t="s">
        <v>200</v>
      </c>
      <c r="AF187" s="248" t="s">
        <v>200</v>
      </c>
      <c r="AG187" s="248" t="s">
        <v>200</v>
      </c>
      <c r="AH187" s="248" t="s">
        <v>200</v>
      </c>
      <c r="AI187" s="248"/>
    </row>
    <row r="188" spans="13:35">
      <c r="M188" s="75">
        <v>190</v>
      </c>
      <c r="N188" s="72" t="s">
        <v>135</v>
      </c>
      <c r="O188" s="72" t="s">
        <v>847</v>
      </c>
      <c r="P188" s="72" t="s">
        <v>215</v>
      </c>
      <c r="Q188" s="72" t="s">
        <v>104</v>
      </c>
      <c r="R188" s="72" t="s">
        <v>206</v>
      </c>
      <c r="S188" s="72">
        <v>23</v>
      </c>
      <c r="T188" s="72">
        <v>3600</v>
      </c>
      <c r="U188" s="72">
        <v>2700</v>
      </c>
      <c r="V188" s="72">
        <v>50000</v>
      </c>
      <c r="W188" s="72" t="s">
        <v>270</v>
      </c>
      <c r="Y188" s="72">
        <v>187</v>
      </c>
      <c r="Z188" s="248" t="s">
        <v>200</v>
      </c>
      <c r="AA188" s="248"/>
      <c r="AB188" s="248" t="s">
        <v>200</v>
      </c>
      <c r="AC188" s="248" t="s">
        <v>200</v>
      </c>
      <c r="AD188" s="248" t="s">
        <v>200</v>
      </c>
      <c r="AE188" s="248" t="s">
        <v>200</v>
      </c>
      <c r="AF188" s="248" t="s">
        <v>200</v>
      </c>
      <c r="AG188" s="248" t="s">
        <v>200</v>
      </c>
      <c r="AH188" s="248" t="s">
        <v>200</v>
      </c>
      <c r="AI188" s="248"/>
    </row>
    <row r="189" spans="13:35">
      <c r="M189" s="75">
        <v>191</v>
      </c>
      <c r="N189" s="72" t="s">
        <v>135</v>
      </c>
      <c r="O189" s="72" t="s">
        <v>848</v>
      </c>
      <c r="P189" s="72" t="s">
        <v>215</v>
      </c>
      <c r="Q189" s="72" t="s">
        <v>104</v>
      </c>
      <c r="R189" s="72" t="s">
        <v>206</v>
      </c>
      <c r="S189" s="72">
        <v>34</v>
      </c>
      <c r="T189" s="72">
        <v>5400</v>
      </c>
      <c r="U189" s="72">
        <v>2700</v>
      </c>
      <c r="V189" s="72">
        <v>50000</v>
      </c>
      <c r="W189" s="72" t="s">
        <v>270</v>
      </c>
      <c r="Y189" s="72">
        <v>188</v>
      </c>
      <c r="Z189" s="248" t="s">
        <v>200</v>
      </c>
      <c r="AA189" s="248"/>
      <c r="AB189" s="248" t="s">
        <v>200</v>
      </c>
      <c r="AC189" s="248" t="s">
        <v>200</v>
      </c>
      <c r="AD189" s="248" t="s">
        <v>200</v>
      </c>
      <c r="AE189" s="248" t="s">
        <v>200</v>
      </c>
      <c r="AF189" s="248" t="s">
        <v>200</v>
      </c>
      <c r="AG189" s="248" t="s">
        <v>200</v>
      </c>
      <c r="AH189" s="248" t="s">
        <v>200</v>
      </c>
      <c r="AI189" s="248"/>
    </row>
    <row r="190" spans="13:35">
      <c r="M190" s="75">
        <v>192</v>
      </c>
      <c r="N190" s="72" t="s">
        <v>135</v>
      </c>
      <c r="O190" s="72" t="s">
        <v>849</v>
      </c>
      <c r="P190" s="72" t="s">
        <v>215</v>
      </c>
      <c r="Q190" s="72" t="s">
        <v>105</v>
      </c>
      <c r="R190" s="72" t="s">
        <v>206</v>
      </c>
      <c r="S190" s="72">
        <v>50</v>
      </c>
      <c r="T190" s="72">
        <v>9000</v>
      </c>
      <c r="U190" s="72">
        <v>4000</v>
      </c>
      <c r="V190" s="72">
        <v>50000</v>
      </c>
      <c r="W190" s="72" t="s">
        <v>270</v>
      </c>
      <c r="Y190" s="72">
        <v>189</v>
      </c>
      <c r="Z190" s="248" t="s">
        <v>200</v>
      </c>
      <c r="AA190" s="248"/>
      <c r="AB190" s="248" t="s">
        <v>200</v>
      </c>
      <c r="AC190" s="248" t="s">
        <v>200</v>
      </c>
      <c r="AD190" s="248" t="s">
        <v>200</v>
      </c>
      <c r="AE190" s="248" t="s">
        <v>200</v>
      </c>
      <c r="AF190" s="248" t="s">
        <v>200</v>
      </c>
      <c r="AG190" s="248" t="s">
        <v>200</v>
      </c>
      <c r="AH190" s="248" t="s">
        <v>200</v>
      </c>
      <c r="AI190" s="248"/>
    </row>
    <row r="191" spans="13:35">
      <c r="M191" s="75">
        <v>193</v>
      </c>
      <c r="N191" s="72" t="s">
        <v>135</v>
      </c>
      <c r="O191" s="72" t="s">
        <v>850</v>
      </c>
      <c r="P191" s="72" t="s">
        <v>215</v>
      </c>
      <c r="Q191" s="72" t="s">
        <v>105</v>
      </c>
      <c r="R191" s="72" t="s">
        <v>206</v>
      </c>
      <c r="S191" s="72">
        <v>65</v>
      </c>
      <c r="T191" s="72">
        <v>12000</v>
      </c>
      <c r="U191" s="72">
        <v>4000</v>
      </c>
      <c r="V191" s="72">
        <v>50000</v>
      </c>
      <c r="W191" s="72" t="s">
        <v>270</v>
      </c>
      <c r="Y191" s="72">
        <v>190</v>
      </c>
      <c r="Z191" s="248" t="s">
        <v>200</v>
      </c>
      <c r="AA191" s="248"/>
      <c r="AB191" s="248" t="s">
        <v>200</v>
      </c>
      <c r="AC191" s="248" t="s">
        <v>200</v>
      </c>
      <c r="AD191" s="248" t="s">
        <v>200</v>
      </c>
      <c r="AE191" s="248" t="s">
        <v>200</v>
      </c>
      <c r="AF191" s="248" t="s">
        <v>200</v>
      </c>
      <c r="AG191" s="248" t="s">
        <v>200</v>
      </c>
      <c r="AH191" s="248" t="s">
        <v>200</v>
      </c>
      <c r="AI191" s="248"/>
    </row>
    <row r="192" spans="13:35">
      <c r="M192" s="75">
        <v>194</v>
      </c>
      <c r="N192" s="72" t="s">
        <v>135</v>
      </c>
      <c r="O192" s="72" t="s">
        <v>851</v>
      </c>
      <c r="P192" s="72" t="s">
        <v>215</v>
      </c>
      <c r="Q192" s="72" t="s">
        <v>105</v>
      </c>
      <c r="R192" s="72" t="s">
        <v>206</v>
      </c>
      <c r="S192" s="72">
        <v>42.8</v>
      </c>
      <c r="T192" s="72">
        <v>9000</v>
      </c>
      <c r="U192" s="72">
        <v>4000</v>
      </c>
      <c r="V192" s="72">
        <v>50000</v>
      </c>
      <c r="W192" s="72" t="s">
        <v>270</v>
      </c>
      <c r="Y192" s="72">
        <v>191</v>
      </c>
      <c r="Z192" s="248" t="s">
        <v>200</v>
      </c>
      <c r="AA192" s="248"/>
      <c r="AB192" s="248" t="s">
        <v>200</v>
      </c>
      <c r="AC192" s="248" t="s">
        <v>200</v>
      </c>
      <c r="AD192" s="248" t="s">
        <v>200</v>
      </c>
      <c r="AE192" s="248" t="s">
        <v>200</v>
      </c>
      <c r="AF192" s="248" t="s">
        <v>200</v>
      </c>
      <c r="AG192" s="248" t="s">
        <v>200</v>
      </c>
      <c r="AH192" s="248" t="s">
        <v>200</v>
      </c>
      <c r="AI192" s="248"/>
    </row>
    <row r="193" spans="13:35">
      <c r="M193" s="75">
        <v>195</v>
      </c>
      <c r="N193" s="222"/>
      <c r="O193" s="222" t="s">
        <v>620</v>
      </c>
      <c r="P193" s="222"/>
      <c r="Q193" s="222"/>
      <c r="R193" s="222"/>
      <c r="S193" s="222"/>
      <c r="T193" s="222"/>
      <c r="U193" s="222"/>
      <c r="V193" s="222"/>
      <c r="W193" s="222"/>
      <c r="Y193" s="72">
        <v>192</v>
      </c>
      <c r="Z193" s="248" t="s">
        <v>200</v>
      </c>
      <c r="AA193" s="248"/>
      <c r="AB193" s="248" t="s">
        <v>200</v>
      </c>
      <c r="AC193" s="248" t="s">
        <v>200</v>
      </c>
      <c r="AD193" s="248" t="s">
        <v>200</v>
      </c>
      <c r="AE193" s="248" t="s">
        <v>200</v>
      </c>
      <c r="AF193" s="248" t="s">
        <v>200</v>
      </c>
      <c r="AG193" s="248" t="s">
        <v>200</v>
      </c>
      <c r="AH193" s="248" t="s">
        <v>200</v>
      </c>
      <c r="AI193" s="248"/>
    </row>
    <row r="194" spans="13:35">
      <c r="M194" s="75">
        <v>196</v>
      </c>
      <c r="N194" s="248" t="s">
        <v>967</v>
      </c>
      <c r="O194" s="248" t="s">
        <v>470</v>
      </c>
      <c r="P194" s="248" t="s">
        <v>202</v>
      </c>
      <c r="Q194" s="248" t="s">
        <v>104</v>
      </c>
      <c r="R194" s="248" t="s">
        <v>206</v>
      </c>
      <c r="S194" s="248">
        <v>25</v>
      </c>
      <c r="T194" s="248">
        <v>4375</v>
      </c>
      <c r="U194" s="248">
        <v>4000</v>
      </c>
      <c r="V194" s="248">
        <v>50000</v>
      </c>
      <c r="W194" s="248" t="s">
        <v>204</v>
      </c>
      <c r="Y194" s="72">
        <v>193</v>
      </c>
      <c r="Z194" s="248" t="s">
        <v>200</v>
      </c>
      <c r="AA194" s="248"/>
      <c r="AB194" s="248" t="s">
        <v>200</v>
      </c>
      <c r="AC194" s="248" t="s">
        <v>200</v>
      </c>
      <c r="AD194" s="248" t="s">
        <v>200</v>
      </c>
      <c r="AE194" s="248" t="s">
        <v>200</v>
      </c>
      <c r="AF194" s="248" t="s">
        <v>200</v>
      </c>
      <c r="AG194" s="248" t="s">
        <v>200</v>
      </c>
      <c r="AH194" s="248" t="s">
        <v>200</v>
      </c>
      <c r="AI194" s="248"/>
    </row>
    <row r="195" spans="13:35">
      <c r="M195" s="75">
        <v>197</v>
      </c>
      <c r="N195" s="248" t="s">
        <v>967</v>
      </c>
      <c r="O195" s="248" t="s">
        <v>519</v>
      </c>
      <c r="P195" s="248" t="s">
        <v>202</v>
      </c>
      <c r="Q195" s="248" t="s">
        <v>105</v>
      </c>
      <c r="R195" s="248" t="s">
        <v>206</v>
      </c>
      <c r="S195" s="248">
        <v>54</v>
      </c>
      <c r="T195" s="248">
        <v>9450</v>
      </c>
      <c r="U195" s="248">
        <v>4000</v>
      </c>
      <c r="V195" s="248">
        <v>50000</v>
      </c>
      <c r="W195" s="248" t="s">
        <v>204</v>
      </c>
      <c r="Y195" s="72">
        <v>194</v>
      </c>
      <c r="Z195" s="248" t="s">
        <v>200</v>
      </c>
      <c r="AA195" s="248"/>
      <c r="AB195" s="248" t="s">
        <v>200</v>
      </c>
      <c r="AC195" s="248" t="s">
        <v>200</v>
      </c>
      <c r="AD195" s="248" t="s">
        <v>200</v>
      </c>
      <c r="AE195" s="248" t="s">
        <v>200</v>
      </c>
      <c r="AF195" s="248" t="s">
        <v>200</v>
      </c>
      <c r="AG195" s="248" t="s">
        <v>200</v>
      </c>
      <c r="AH195" s="248" t="s">
        <v>200</v>
      </c>
      <c r="AI195" s="248"/>
    </row>
    <row r="196" spans="13:35">
      <c r="M196" s="75">
        <v>198</v>
      </c>
      <c r="N196" s="249"/>
      <c r="O196" s="249"/>
      <c r="P196" s="249"/>
      <c r="Q196" s="249"/>
      <c r="R196" s="249"/>
      <c r="S196" s="249"/>
      <c r="T196" s="249"/>
      <c r="U196" s="249"/>
      <c r="V196" s="249"/>
      <c r="W196" s="248"/>
      <c r="Y196" s="72">
        <v>195</v>
      </c>
      <c r="Z196" s="248" t="s">
        <v>200</v>
      </c>
      <c r="AA196" s="248"/>
      <c r="AB196" s="248" t="s">
        <v>200</v>
      </c>
      <c r="AC196" s="248" t="s">
        <v>200</v>
      </c>
      <c r="AD196" s="248" t="s">
        <v>200</v>
      </c>
      <c r="AE196" s="248" t="s">
        <v>200</v>
      </c>
      <c r="AF196" s="248" t="s">
        <v>200</v>
      </c>
      <c r="AG196" s="248" t="s">
        <v>200</v>
      </c>
      <c r="AH196" s="248" t="s">
        <v>200</v>
      </c>
      <c r="AI196" s="248"/>
    </row>
    <row r="197" spans="13:35">
      <c r="M197" s="75">
        <v>199</v>
      </c>
      <c r="N197" s="249"/>
      <c r="O197" s="249"/>
      <c r="P197" s="249"/>
      <c r="Q197" s="249"/>
      <c r="R197" s="249"/>
      <c r="S197" s="249"/>
      <c r="T197" s="249"/>
      <c r="U197" s="249"/>
      <c r="V197" s="249"/>
      <c r="W197" s="248"/>
      <c r="Y197" s="72">
        <v>196</v>
      </c>
      <c r="Z197" s="248" t="s">
        <v>200</v>
      </c>
      <c r="AA197" s="248"/>
      <c r="AB197" s="248" t="s">
        <v>200</v>
      </c>
      <c r="AC197" s="248" t="s">
        <v>200</v>
      </c>
      <c r="AD197" s="248" t="s">
        <v>200</v>
      </c>
      <c r="AE197" s="248" t="s">
        <v>200</v>
      </c>
      <c r="AF197" s="248" t="s">
        <v>200</v>
      </c>
      <c r="AG197" s="248" t="s">
        <v>200</v>
      </c>
      <c r="AH197" s="248" t="s">
        <v>200</v>
      </c>
      <c r="AI197" s="248"/>
    </row>
    <row r="198" spans="13:35">
      <c r="M198" s="75">
        <v>200</v>
      </c>
      <c r="N198" s="249"/>
      <c r="O198" s="249"/>
      <c r="P198" s="249"/>
      <c r="Q198" s="249"/>
      <c r="R198" s="249"/>
      <c r="S198" s="249"/>
      <c r="T198" s="249"/>
      <c r="U198" s="249"/>
      <c r="V198" s="249"/>
      <c r="W198" s="248"/>
      <c r="Y198" s="72">
        <v>197</v>
      </c>
      <c r="Z198" s="248" t="s">
        <v>200</v>
      </c>
      <c r="AA198" s="248"/>
      <c r="AB198" s="248" t="s">
        <v>200</v>
      </c>
      <c r="AC198" s="248" t="s">
        <v>200</v>
      </c>
      <c r="AD198" s="248" t="s">
        <v>200</v>
      </c>
      <c r="AE198" s="248" t="s">
        <v>200</v>
      </c>
      <c r="AF198" s="248" t="s">
        <v>200</v>
      </c>
      <c r="AG198" s="248" t="s">
        <v>200</v>
      </c>
      <c r="AH198" s="248" t="s">
        <v>200</v>
      </c>
      <c r="AI198" s="248"/>
    </row>
    <row r="199" spans="13:35">
      <c r="M199" s="75">
        <v>201</v>
      </c>
      <c r="N199" s="249"/>
      <c r="O199" s="249"/>
      <c r="P199" s="249"/>
      <c r="Q199" s="249"/>
      <c r="R199" s="249"/>
      <c r="S199" s="249"/>
      <c r="T199" s="249"/>
      <c r="U199" s="249"/>
      <c r="V199" s="249"/>
      <c r="W199" s="248"/>
      <c r="Y199" s="72">
        <v>198</v>
      </c>
      <c r="Z199" s="248" t="s">
        <v>200</v>
      </c>
      <c r="AA199" s="248"/>
      <c r="AB199" s="248" t="s">
        <v>200</v>
      </c>
      <c r="AC199" s="248" t="s">
        <v>200</v>
      </c>
      <c r="AD199" s="248" t="s">
        <v>200</v>
      </c>
      <c r="AE199" s="248" t="s">
        <v>200</v>
      </c>
      <c r="AF199" s="248" t="s">
        <v>200</v>
      </c>
      <c r="AG199" s="248" t="s">
        <v>200</v>
      </c>
      <c r="AH199" s="248" t="s">
        <v>200</v>
      </c>
      <c r="AI199" s="248"/>
    </row>
    <row r="200" spans="13:35">
      <c r="M200" s="75">
        <v>202</v>
      </c>
      <c r="N200" s="249"/>
      <c r="O200" s="249"/>
      <c r="P200" s="249"/>
      <c r="Q200" s="249"/>
      <c r="R200" s="249"/>
      <c r="S200" s="249"/>
      <c r="T200" s="249"/>
      <c r="U200" s="249"/>
      <c r="V200" s="249"/>
      <c r="W200" s="248"/>
      <c r="Y200" s="72">
        <v>199</v>
      </c>
      <c r="Z200" s="248" t="s">
        <v>200</v>
      </c>
      <c r="AA200" s="248"/>
      <c r="AB200" s="248" t="s">
        <v>200</v>
      </c>
      <c r="AC200" s="248" t="s">
        <v>200</v>
      </c>
      <c r="AD200" s="248" t="s">
        <v>200</v>
      </c>
      <c r="AE200" s="248" t="s">
        <v>200</v>
      </c>
      <c r="AF200" s="248" t="s">
        <v>200</v>
      </c>
      <c r="AG200" s="248" t="s">
        <v>200</v>
      </c>
      <c r="AH200" s="248" t="s">
        <v>200</v>
      </c>
      <c r="AI200" s="248"/>
    </row>
    <row r="201" spans="13:35">
      <c r="M201" s="75">
        <v>203</v>
      </c>
      <c r="N201" s="249"/>
      <c r="O201" s="249"/>
      <c r="P201" s="249"/>
      <c r="Q201" s="249"/>
      <c r="R201" s="249"/>
      <c r="S201" s="249"/>
      <c r="T201" s="249"/>
      <c r="U201" s="249"/>
      <c r="V201" s="249"/>
      <c r="W201" s="248"/>
      <c r="Y201" s="72">
        <v>200</v>
      </c>
      <c r="Z201" s="248" t="s">
        <v>200</v>
      </c>
      <c r="AA201" s="248"/>
      <c r="AB201" s="248" t="s">
        <v>200</v>
      </c>
      <c r="AC201" s="248" t="s">
        <v>200</v>
      </c>
      <c r="AD201" s="248" t="s">
        <v>200</v>
      </c>
      <c r="AE201" s="248" t="s">
        <v>200</v>
      </c>
      <c r="AF201" s="248" t="s">
        <v>200</v>
      </c>
      <c r="AG201" s="248" t="s">
        <v>200</v>
      </c>
      <c r="AH201" s="248" t="s">
        <v>200</v>
      </c>
      <c r="AI201" s="248"/>
    </row>
    <row r="202" spans="13:35">
      <c r="M202" s="75">
        <v>204</v>
      </c>
      <c r="N202" s="249"/>
      <c r="O202" s="249"/>
      <c r="P202" s="249"/>
      <c r="Q202" s="249"/>
      <c r="R202" s="249"/>
      <c r="S202" s="249"/>
      <c r="T202" s="249"/>
      <c r="U202" s="249"/>
      <c r="V202" s="249"/>
      <c r="W202" s="248"/>
      <c r="Y202" s="72">
        <v>201</v>
      </c>
      <c r="Z202" s="248" t="s">
        <v>200</v>
      </c>
      <c r="AA202" s="248"/>
      <c r="AB202" s="248" t="s">
        <v>200</v>
      </c>
      <c r="AC202" s="248" t="s">
        <v>200</v>
      </c>
      <c r="AD202" s="248" t="s">
        <v>200</v>
      </c>
      <c r="AE202" s="248" t="s">
        <v>200</v>
      </c>
      <c r="AF202" s="248" t="s">
        <v>200</v>
      </c>
      <c r="AG202" s="248" t="s">
        <v>200</v>
      </c>
      <c r="AH202" s="248" t="s">
        <v>200</v>
      </c>
      <c r="AI202" s="248"/>
    </row>
    <row r="203" spans="13:35">
      <c r="M203" s="75">
        <v>205</v>
      </c>
      <c r="N203" s="249"/>
      <c r="O203" s="249"/>
      <c r="P203" s="249"/>
      <c r="Q203" s="249"/>
      <c r="R203" s="249"/>
      <c r="S203" s="249"/>
      <c r="T203" s="249"/>
      <c r="U203" s="249"/>
      <c r="V203" s="249"/>
      <c r="W203" s="248"/>
      <c r="Y203" s="72">
        <v>202</v>
      </c>
      <c r="Z203" s="248" t="s">
        <v>200</v>
      </c>
      <c r="AA203" s="248"/>
      <c r="AB203" s="248" t="s">
        <v>200</v>
      </c>
      <c r="AC203" s="248" t="s">
        <v>200</v>
      </c>
      <c r="AD203" s="248" t="s">
        <v>200</v>
      </c>
      <c r="AE203" s="248" t="s">
        <v>200</v>
      </c>
      <c r="AF203" s="248" t="s">
        <v>200</v>
      </c>
      <c r="AG203" s="248" t="s">
        <v>200</v>
      </c>
      <c r="AH203" s="248" t="s">
        <v>200</v>
      </c>
      <c r="AI203" s="248"/>
    </row>
    <row r="204" spans="13:35">
      <c r="M204" s="75">
        <v>206</v>
      </c>
      <c r="N204" s="249"/>
      <c r="O204" s="249"/>
      <c r="P204" s="249"/>
      <c r="Q204" s="249"/>
      <c r="R204" s="249"/>
      <c r="S204" s="249"/>
      <c r="T204" s="249"/>
      <c r="U204" s="249"/>
      <c r="V204" s="249"/>
      <c r="W204" s="248"/>
      <c r="Y204" s="72">
        <v>203</v>
      </c>
      <c r="Z204" s="248" t="s">
        <v>200</v>
      </c>
      <c r="AA204" s="248"/>
      <c r="AB204" s="248" t="s">
        <v>200</v>
      </c>
      <c r="AC204" s="248" t="s">
        <v>200</v>
      </c>
      <c r="AD204" s="248" t="s">
        <v>200</v>
      </c>
      <c r="AE204" s="248" t="s">
        <v>200</v>
      </c>
      <c r="AF204" s="248" t="s">
        <v>200</v>
      </c>
      <c r="AG204" s="248" t="s">
        <v>200</v>
      </c>
      <c r="AH204" s="248" t="s">
        <v>200</v>
      </c>
      <c r="AI204" s="248"/>
    </row>
    <row r="205" spans="13:35">
      <c r="M205" s="94"/>
      <c r="N205"/>
      <c r="O205"/>
      <c r="P205"/>
      <c r="Q205"/>
      <c r="R205"/>
      <c r="S205"/>
      <c r="T205"/>
      <c r="U205"/>
      <c r="V205"/>
      <c r="W205"/>
      <c r="Y205" s="72">
        <v>204</v>
      </c>
      <c r="Z205" s="248" t="s">
        <v>200</v>
      </c>
      <c r="AA205" s="248"/>
      <c r="AB205" s="248" t="s">
        <v>200</v>
      </c>
      <c r="AC205" s="248" t="s">
        <v>200</v>
      </c>
      <c r="AD205" s="248" t="s">
        <v>200</v>
      </c>
      <c r="AE205" s="248" t="s">
        <v>200</v>
      </c>
      <c r="AF205" s="248" t="s">
        <v>200</v>
      </c>
      <c r="AG205" s="248" t="s">
        <v>200</v>
      </c>
      <c r="AH205" s="248" t="s">
        <v>200</v>
      </c>
      <c r="AI205" s="248"/>
    </row>
    <row r="206" spans="13:35">
      <c r="M206" s="94"/>
      <c r="N206" s="94"/>
      <c r="O206" s="94"/>
      <c r="P206" s="94"/>
      <c r="Q206" s="94"/>
      <c r="R206" s="94"/>
      <c r="S206" s="94"/>
      <c r="T206" s="94"/>
      <c r="U206" s="94"/>
      <c r="V206" s="94"/>
      <c r="W206" s="94"/>
      <c r="Y206" s="72">
        <v>205</v>
      </c>
      <c r="Z206" s="248" t="s">
        <v>200</v>
      </c>
      <c r="AA206" s="248"/>
      <c r="AB206" s="248" t="s">
        <v>200</v>
      </c>
      <c r="AC206" s="248" t="s">
        <v>200</v>
      </c>
      <c r="AD206" s="248" t="s">
        <v>200</v>
      </c>
      <c r="AE206" s="248" t="s">
        <v>200</v>
      </c>
      <c r="AF206" s="248" t="s">
        <v>200</v>
      </c>
      <c r="AG206" s="248" t="s">
        <v>200</v>
      </c>
      <c r="AH206" s="248" t="s">
        <v>200</v>
      </c>
      <c r="AI206" s="248"/>
    </row>
    <row r="207" spans="13:35">
      <c r="Y207" s="72">
        <v>206</v>
      </c>
      <c r="Z207" s="248" t="s">
        <v>200</v>
      </c>
      <c r="AA207" s="248"/>
      <c r="AB207" s="248" t="s">
        <v>200</v>
      </c>
      <c r="AC207" s="248" t="s">
        <v>200</v>
      </c>
      <c r="AD207" s="248" t="s">
        <v>200</v>
      </c>
      <c r="AE207" s="248" t="s">
        <v>200</v>
      </c>
      <c r="AF207" s="248" t="s">
        <v>200</v>
      </c>
      <c r="AG207" s="248" t="s">
        <v>200</v>
      </c>
      <c r="AH207" s="248" t="s">
        <v>200</v>
      </c>
      <c r="AI207" s="248"/>
    </row>
  </sheetData>
  <sheetProtection algorithmName="SHA-512" hashValue="5h1hoDALZw4aZc9yVFbR5fRYDPsMA9M0JK4B7r1MMvfu7RDMXkHzXoJIOH6F1JuQCkrGMySWQU8ED0zYtm16Sw==" saltValue="U8/30edCHXNnbGKEeLZWrA==" spinCount="100000" sheet="1" objects="1" scenarios="1" formatCells="0" sort="0" autoFilter="0"/>
  <autoFilter ref="A1:BG207" xr:uid="{D2112389-3B0E-4B64-8DFE-482F77B6A653}"/>
  <conditionalFormatting sqref="O194:O195">
    <cfRule type="duplicateValues" dxfId="1" priority="1"/>
  </conditionalFormatting>
  <conditionalFormatting sqref="AY149:AY163 AM94:AM172 C100:C108 O196:O204 C2:C95 O2:O192 AM2:AM91 AY2:AY146 AA2:AA40 AA43:AA207">
    <cfRule type="duplicateValues" dxfId="0" priority="2"/>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07B7-A1BD-4949-998A-722758C1D345}">
  <sheetPr codeName="Sheet6">
    <tabColor rgb="FF9E0000"/>
  </sheetPr>
  <dimension ref="A1:Z61"/>
  <sheetViews>
    <sheetView zoomScaleNormal="100" workbookViewId="0">
      <selection activeCell="Y1" sqref="Y1"/>
    </sheetView>
  </sheetViews>
  <sheetFormatPr defaultColWidth="8.85546875" defaultRowHeight="14.45" customHeight="1"/>
  <cols>
    <col min="1" max="1" width="10.42578125" style="4" customWidth="1"/>
    <col min="2" max="2" width="31.5703125" style="4" customWidth="1"/>
    <col min="3" max="3" width="12.5703125" style="4" customWidth="1"/>
    <col min="4" max="4" width="15" style="4" customWidth="1"/>
    <col min="5" max="5" width="19" style="4" customWidth="1"/>
    <col min="6" max="6" width="8.85546875" style="4"/>
    <col min="7" max="7" width="11.42578125" style="4" bestFit="1" customWidth="1"/>
    <col min="8" max="8" width="8.85546875" style="4"/>
    <col min="9" max="9" width="24.140625" style="4" bestFit="1" customWidth="1"/>
    <col min="10" max="10" width="21.140625" style="4" bestFit="1" customWidth="1"/>
    <col min="11" max="11" width="23.5703125" style="4" bestFit="1" customWidth="1"/>
    <col min="12" max="12" width="28" style="4" bestFit="1" customWidth="1"/>
    <col min="13" max="13" width="27.85546875" style="4" bestFit="1" customWidth="1"/>
    <col min="14" max="14" width="31" style="4" bestFit="1" customWidth="1"/>
    <col min="15" max="15" width="34.140625" style="4" bestFit="1" customWidth="1"/>
    <col min="16" max="16" width="29.85546875" style="4" bestFit="1" customWidth="1"/>
    <col min="17" max="17" width="24.140625" style="4" bestFit="1" customWidth="1"/>
    <col min="18" max="18" width="29" style="4" bestFit="1" customWidth="1"/>
    <col min="19" max="19" width="19.85546875" style="4" bestFit="1" customWidth="1"/>
    <col min="20" max="20" width="29" style="4" bestFit="1" customWidth="1"/>
    <col min="21" max="21" width="23.85546875" style="4" bestFit="1" customWidth="1"/>
    <col min="22" max="22" width="34" style="4" bestFit="1" customWidth="1"/>
    <col min="23" max="23" width="29.140625" style="4" bestFit="1" customWidth="1"/>
    <col min="24" max="24" width="33.140625" style="4" bestFit="1" customWidth="1"/>
    <col min="25" max="25" width="20" style="4" bestFit="1" customWidth="1"/>
    <col min="26" max="26" width="25.85546875" style="4" bestFit="1" customWidth="1"/>
    <col min="27" max="16384" width="8.85546875" style="4"/>
  </cols>
  <sheetData>
    <row r="1" spans="1:26" ht="18" customHeight="1">
      <c r="I1" s="131" t="s">
        <v>80</v>
      </c>
      <c r="J1" s="131" t="s">
        <v>93</v>
      </c>
      <c r="K1" s="131" t="s">
        <v>107</v>
      </c>
      <c r="L1" s="131" t="s">
        <v>109</v>
      </c>
      <c r="M1" s="131" t="s">
        <v>114</v>
      </c>
      <c r="N1" s="131" t="s">
        <v>145</v>
      </c>
      <c r="O1" s="131" t="s">
        <v>142</v>
      </c>
      <c r="P1" s="131" t="s">
        <v>116</v>
      </c>
      <c r="Q1" s="131" t="s">
        <v>187</v>
      </c>
      <c r="R1" s="131" t="s">
        <v>188</v>
      </c>
      <c r="S1" s="131" t="s">
        <v>189</v>
      </c>
      <c r="T1" s="131" t="s">
        <v>766</v>
      </c>
      <c r="U1" s="131" t="s">
        <v>190</v>
      </c>
      <c r="V1" s="131" t="s">
        <v>767</v>
      </c>
      <c r="W1" s="131" t="s">
        <v>191</v>
      </c>
      <c r="X1" s="131" t="s">
        <v>192</v>
      </c>
      <c r="Y1" s="131" t="s">
        <v>193</v>
      </c>
      <c r="Z1" s="131" t="s">
        <v>194</v>
      </c>
    </row>
    <row r="2" spans="1:26" ht="15">
      <c r="C2"/>
      <c r="D2" s="132" t="s">
        <v>130</v>
      </c>
      <c r="E2" s="132" t="s">
        <v>131</v>
      </c>
      <c r="I2" s="1" t="str" cm="1">
        <f t="array" ref="I2:I48">_xlfn._xlws.FILTER(Old_Model_Registry!$B$2:$B$500,Old_Model_Registry!$C$2:$C$500=I$1)</f>
        <v>Conv-FTL-T8-1.5M-1X-56W</v>
      </c>
      <c r="J2" s="1" t="str" cm="1">
        <f t="array" ref="J2:J54">_xlfn._xlws.FILTER(Old_Model_Registry!$B$2:$B$500,Old_Model_Registry!$C$2:$C$500=J$1)</f>
        <v>Conv-CFL-E27-1X-9W</v>
      </c>
      <c r="K2" s="1" t="str" cm="1">
        <f t="array" ref="K2:K7">_xlfn._xlws.FILTER(Old_Model_Registry!$B$2:$B$500,Old_Model_Registry!$C$2:$C$500=K$1)</f>
        <v>Conv-Candle-E14-1X-20W</v>
      </c>
      <c r="L2" s="1" t="str" cm="1">
        <f t="array" ref="L2:L24">_xlfn._xlws.FILTER(Old_Model_Registry!$B$2:$B$500,Old_Model_Registry!$C$2:$C$500=L$1)</f>
        <v>Conv-MH-E40-1X-70W</v>
      </c>
      <c r="M2" s="1" t="str" cm="1">
        <f t="array" ref="M2:M16">_xlfn._xlws.FILTER(Old_Model_Registry!$B$2:$B$500,Old_Model_Registry!$C$2:$C$500=M$1)</f>
        <v>Conv-MV-E40-1X-70W</v>
      </c>
      <c r="N2" s="1" t="str" cm="1">
        <f t="array" ref="N2:N5">_xlfn._xlws.FILTER(Old_Model_Registry!$B$2:$B$500,Old_Model_Registry!$C$2:$C$500=N$1)</f>
        <v>Conv-Incandescent-E27-1X-40W</v>
      </c>
      <c r="O2" s="1" t="str" cm="1">
        <f t="array" ref="O2:O26">_xlfn._xlws.FILTER(Old_Model_Registry!$B$2:$B$500,Old_Model_Registry!$C$2:$C$500=O$1)</f>
        <v>Conv-Halogen-Spot Light-1X-25W</v>
      </c>
      <c r="P2" s="1" t="str" cm="1">
        <f t="array" ref="P2:P16">_xlfn._xlws.FILTER(Old_Model_Registry!$B$2:$B$500,Old_Model_Registry!$C$2:$C$500=P$1)</f>
        <v>Conv-HPS-Flood Light-1X-100W</v>
      </c>
      <c r="Q2" s="1" t="str" cm="1">
        <f t="array" ref="Q2:Q43">_xlfn._xlws.FILTER(Old_Model_Registry!$B$2:$B$500,Old_Model_Registry!$C$2:$C$500=Q$1)</f>
        <v>LED_Tube-T8-1.5M-1X-30W</v>
      </c>
      <c r="R2" s="1" t="str" cm="1">
        <f t="array" ref="R2:R5">_xlfn._xlws.FILTER(Old_Model_Registry!$B$2:$B$500,Old_Model_Registry!$C$2:$C$500=R$1)</f>
        <v>LED_Spot_Light-Spot Light-1X-5W</v>
      </c>
      <c r="S2" s="1" t="str" cm="1">
        <f t="array" ref="S2:S33">_xlfn._xlws.FILTER(Old_Model_Registry!$B$2:$B$500,Old_Model_Registry!$C$2:$C$500=S$1)</f>
        <v>LED_Bulb-E27-1X-9W</v>
      </c>
      <c r="T2" s="1" t="str" cm="1">
        <f t="array" ref="T2:T16">_xlfn._xlws.FILTER(Old_Model_Registry!$B$2:$B$500,Old_Model_Registry!$C$2:$C$500=T$1)</f>
        <v>LED_Panel_light-60X60-1X-48W</v>
      </c>
      <c r="U2" s="1" t="str" cm="1">
        <f t="array" ref="U2:U36">_xlfn._xlws.FILTER(Old_Model_Registry!$B$2:$B$500,Old_Model_Registry!$C$2:$C$500=U$1)</f>
        <v>LED_Downlight-4''-1X-9W</v>
      </c>
      <c r="V2" s="1" t="str" cm="1">
        <f t="array" ref="V2:V10">_xlfn._xlws.FILTER(Old_Model_Registry!$B$2:$B$500,Old_Model_Registry!$C$2:$C$500=V$1)</f>
        <v>LED_Flood_Light-Flood Light-1X-50W</v>
      </c>
      <c r="W2" s="1" t="str" cm="1">
        <f t="array" ref="W2:W9">_xlfn._xlws.FILTER(Old_Model_Registry!$B$2:$B$500,Old_Model_Registry!$C$2:$C$500=W$1)</f>
        <v>LED_High_Bay-High Bay-1X-200W</v>
      </c>
      <c r="X2" s="1" t="str" cm="1">
        <f t="array" ref="X2:X5">_xlfn._xlws.FILTER(Old_Model_Registry!$B$2:$B$500,Old_Model_Registry!$C$2:$C$500=X$1)</f>
        <v>LED_Street_Light-Street Light-1X-150W</v>
      </c>
      <c r="Y2" s="1" t="str" cm="1">
        <f t="array" ref="Y2:Y5">_xlfn._xlws.FILTER(Old_Model_Registry!$B$2:$B$500,Old_Model_Registry!$C$2:$C$500=Y$1)</f>
        <v>LED_Stick-E27-1X-9W</v>
      </c>
      <c r="Z2" s="1" t="str" cm="1">
        <f t="array" ref="Z2:Z4">_xlfn._xlws.FILTER(Old_Model_Registry!$B$2:$B$500,Old_Model_Registry!$C$2:$C$500=Z$1)</f>
        <v>LED_Candle_Light-E14-1X-9W</v>
      </c>
    </row>
    <row r="3" spans="1:26" ht="15">
      <c r="A3" s="1" t="s">
        <v>80</v>
      </c>
      <c r="B3" s="1" t="s">
        <v>140</v>
      </c>
      <c r="D3" s="1" t="s">
        <v>80</v>
      </c>
      <c r="E3" s="1" t="s">
        <v>119</v>
      </c>
      <c r="G3" s="133" t="s">
        <v>81</v>
      </c>
      <c r="I3" s="1" t="str">
        <v>Conv-FTL-T8-1.5M-2X-56W</v>
      </c>
      <c r="J3" s="1" t="str">
        <v>Conv-CFL-E27-1X-10W</v>
      </c>
      <c r="K3" s="1" t="str">
        <v>Conv-Candle-E14-1X-40W</v>
      </c>
      <c r="L3" s="1" t="str">
        <v>Conv-MH-E40-1X-100W</v>
      </c>
      <c r="M3" s="1" t="str">
        <v>Conv-MV-E40-1X-80W</v>
      </c>
      <c r="N3" s="1" t="str">
        <v>Conv-Incandescent-E27-1X-60W</v>
      </c>
      <c r="O3" s="134" t="str">
        <v>Conv-Halogen-Spot Light-1X-40W</v>
      </c>
      <c r="P3" s="134" t="str">
        <v>Conv-HPS-Flood Light-1X-150W</v>
      </c>
      <c r="Q3" s="134" t="str">
        <v>LED_Tube-T8-1.5M-2X-30W</v>
      </c>
      <c r="R3" s="134" t="str">
        <v>LED_Spot_Light-Spot Light-1X-7W</v>
      </c>
      <c r="S3" s="134" t="str">
        <v>LED_Bulb-E27-1X-12W</v>
      </c>
      <c r="T3" s="134" t="str">
        <v>LED_Panel_light-60X60-1X-40W</v>
      </c>
      <c r="U3" s="134" t="str">
        <v>LED_Downlight-4''-1X-10W</v>
      </c>
      <c r="V3" s="134" t="str">
        <v>LED_Flood_Light-Flood Light-1X-100W</v>
      </c>
      <c r="W3" s="134" t="str">
        <v>LED_High_Bay-High Bay-1X-250W</v>
      </c>
      <c r="X3" s="134" t="str">
        <v>LED_Street_Light-Street Light-1X-200W</v>
      </c>
      <c r="Y3" s="134" t="str">
        <v>LED_Stick-E27-1X-12W</v>
      </c>
      <c r="Z3" s="134" t="str">
        <v>LED_Candle_Light-E14-1X-3W</v>
      </c>
    </row>
    <row r="4" spans="1:26" ht="15">
      <c r="A4" s="1" t="s">
        <v>93</v>
      </c>
      <c r="B4" s="1" t="s">
        <v>141</v>
      </c>
      <c r="D4" s="1" t="s">
        <v>132</v>
      </c>
      <c r="E4" s="1" t="s">
        <v>133</v>
      </c>
      <c r="G4" s="133" t="s">
        <v>82</v>
      </c>
      <c r="I4" s="1" t="str">
        <v>Conv-FTL-T8-1.5M-3X-56W</v>
      </c>
      <c r="J4" s="1" t="str">
        <v>Conv-CFL-E27-1X-12W</v>
      </c>
      <c r="K4" s="1" t="str">
        <v>Conv-Candle-E14-1X-30W</v>
      </c>
      <c r="L4" s="1" t="str">
        <v>Conv-MH-E40-1X-150W</v>
      </c>
      <c r="M4" s="1" t="str">
        <v>Conv-MV-E40-1X-175W</v>
      </c>
      <c r="N4" s="1" t="str">
        <v>Conv-Incandescent-E27-1X-100W</v>
      </c>
      <c r="O4" s="134" t="str">
        <v>Conv-Halogen-Spot Light-1X-50W</v>
      </c>
      <c r="P4" s="134" t="str">
        <v>Conv-HPS-Flood Light-1X-250W</v>
      </c>
      <c r="Q4" s="134" t="str">
        <v>LED_Tube-T8-1.5M-3X-30W</v>
      </c>
      <c r="R4" s="134" t="str">
        <v>LED_Spot_Light-Spot Light-1X-8W</v>
      </c>
      <c r="S4" s="134" t="str">
        <v>LED_Bulb-E27-1X-15W</v>
      </c>
      <c r="T4" s="134" t="str">
        <v>LED_Panel_light-60X60-1X-60W</v>
      </c>
      <c r="U4" s="134" t="str">
        <v>LED_Downlight-4''-1X-15W</v>
      </c>
      <c r="V4" s="134" t="str">
        <v>LED_Flood_Light-Flood Light-1X-150W</v>
      </c>
      <c r="W4" s="134" t="str">
        <v>LED_High_Bay-High Bay-1X-400W</v>
      </c>
      <c r="X4" s="134" t="str">
        <v>LED_Street_Light-Street Light-1X-250W</v>
      </c>
      <c r="Y4" s="134" t="str">
        <v>LED_Stick-E27-1X-15W</v>
      </c>
      <c r="Z4" s="134" t="str">
        <v>LED_Candle_Light-E14-1X-5W</v>
      </c>
    </row>
    <row r="5" spans="1:26" ht="15">
      <c r="A5" s="1" t="s">
        <v>142</v>
      </c>
      <c r="B5" s="1" t="s">
        <v>142</v>
      </c>
      <c r="D5" s="1" t="s">
        <v>116</v>
      </c>
      <c r="E5" s="1" t="s">
        <v>134</v>
      </c>
      <c r="G5"/>
      <c r="I5" s="1" t="str">
        <v>Conv-FTL-T8-1.5M-4X-56W</v>
      </c>
      <c r="J5" s="1" t="str">
        <v>Conv-CFL-E27-1X-13W</v>
      </c>
      <c r="K5" s="1" t="str">
        <v>Conv-Candle-E14-1X-5W</v>
      </c>
      <c r="L5" s="1" t="str">
        <v>Conv-MH-E40-1X-400W</v>
      </c>
      <c r="M5" s="1" t="str">
        <v>Conv-MV-Flood Light-1X-80W</v>
      </c>
      <c r="N5" s="1" t="str">
        <v>Conv-Incandescent-High Bay-1X-250W</v>
      </c>
      <c r="O5" s="134" t="str">
        <v>Conv-Halogen-Flood Light-1X-100W</v>
      </c>
      <c r="P5" s="134" t="str">
        <v>Conv-HPS-Flood Light-1X-400W</v>
      </c>
      <c r="Q5" s="134" t="str">
        <v>LED_Tube-T8-1.5M-4X-30W</v>
      </c>
      <c r="R5" s="134" t="str">
        <v>LED_Spot_Light-Spot Light-1X-9W</v>
      </c>
      <c r="S5" s="134" t="str">
        <v>LED_Bulb-E27-1X-20W</v>
      </c>
      <c r="T5" s="134" t="str">
        <v>LED_Panel_light-60X60-1X-80W</v>
      </c>
      <c r="U5" s="134" t="str">
        <v>LED_Downlight-6''-1X-20W</v>
      </c>
      <c r="V5" s="134" t="str">
        <v>LED_Flood_Light-Flood Light-1X-200W</v>
      </c>
      <c r="W5" s="134" t="str">
        <v>LED_High_Bay-High Bay-1X-30W</v>
      </c>
      <c r="X5" s="134" t="str">
        <v>LED_Street_Light-Street Light-1X-300W</v>
      </c>
      <c r="Y5" s="134" t="str">
        <v>LED_Stick- E27-1X-20W</v>
      </c>
      <c r="Z5" s="134"/>
    </row>
    <row r="6" spans="1:26" ht="15">
      <c r="A6" s="1" t="s">
        <v>116</v>
      </c>
      <c r="B6" s="1" t="s">
        <v>143</v>
      </c>
      <c r="D6" s="1" t="s">
        <v>114</v>
      </c>
      <c r="E6" s="1" t="s">
        <v>128</v>
      </c>
      <c r="G6" s="133" t="s">
        <v>2</v>
      </c>
      <c r="I6" s="1" t="str">
        <v>Conv-FTL-T12-1.2M-1X-40W</v>
      </c>
      <c r="J6" s="1" t="str">
        <v>Conv-CFL-E27-1X-15W</v>
      </c>
      <c r="K6" s="1" t="str">
        <v>Conv-Candle-E14-1x-10W</v>
      </c>
      <c r="L6" s="1" t="str">
        <v>Conv-MH-Flood Light-1X-70W</v>
      </c>
      <c r="M6" s="1" t="str">
        <v>Conv-MV-Flood Light-1X-250W</v>
      </c>
      <c r="N6" s="1"/>
      <c r="O6" s="134" t="str">
        <v>Conv-Halogen-Flood Light-1X-150W</v>
      </c>
      <c r="P6" s="134" t="str">
        <v>Conv-HPS-Flood Light-1X-1000W</v>
      </c>
      <c r="Q6" s="134" t="str">
        <v>LED_Tube-T8-1.2M-1X-20W</v>
      </c>
      <c r="R6" s="134"/>
      <c r="S6" s="134" t="str">
        <v>LED_Bulb-E40-1X-50W</v>
      </c>
      <c r="T6" s="134" t="str">
        <v>LED_Panel_light-60X60-1X-100W</v>
      </c>
      <c r="U6" s="134" t="str">
        <v>LED_Downlight-8''-1X-30W</v>
      </c>
      <c r="V6" s="134" t="str">
        <v>LED_Flood_Light-Flood Light-1X-250W</v>
      </c>
      <c r="W6" s="134" t="str">
        <v>LED_High_Bay-High Bay-1X-150W</v>
      </c>
      <c r="X6" s="134"/>
      <c r="Y6" s="134"/>
      <c r="Z6" s="134"/>
    </row>
    <row r="7" spans="1:26" ht="15">
      <c r="A7" s="1" t="s">
        <v>114</v>
      </c>
      <c r="B7" s="1" t="s">
        <v>144</v>
      </c>
      <c r="E7" s="1" t="s">
        <v>121</v>
      </c>
      <c r="G7" s="133" t="s">
        <v>3</v>
      </c>
      <c r="I7" s="1" t="str">
        <v>Conv-FTL-T12-1.2M-2X-40W</v>
      </c>
      <c r="J7" s="1" t="str">
        <v>Conv-CFL-E27-1X-16W</v>
      </c>
      <c r="K7" s="1" t="str">
        <v>Conv-Candle-E14-1X-6W</v>
      </c>
      <c r="L7" s="1" t="str">
        <v>Conv-MH-Flood Light-1X-100W</v>
      </c>
      <c r="M7" s="1" t="str">
        <v>Conv-MV-Flood Light-1X-400W</v>
      </c>
      <c r="N7" s="1"/>
      <c r="O7" s="134" t="str">
        <v>Conv-Halogen-Flood Light-1X-200W</v>
      </c>
      <c r="P7" s="134" t="str">
        <v>Conv-HPS-Street Light-1X-250W</v>
      </c>
      <c r="Q7" s="134" t="str">
        <v>LED_Tube-T8-1.2M-2X-20W</v>
      </c>
      <c r="R7" s="134"/>
      <c r="S7" s="134" t="str">
        <v>LED_Bulb-E27-1X-25W</v>
      </c>
      <c r="T7" s="134" t="str">
        <v>LED_Panel_light-60X60-1X-72W</v>
      </c>
      <c r="U7" s="134" t="str">
        <v>LED_Downlight-8''-1X-40W</v>
      </c>
      <c r="V7" s="134" t="str">
        <v>LED_Flood_Light-Flood Light-1X-300W</v>
      </c>
      <c r="W7" s="134" t="str">
        <v>LED_High_Bay-High Bay-1X-190W</v>
      </c>
      <c r="X7" s="134"/>
      <c r="Y7" s="134"/>
      <c r="Z7" s="134"/>
    </row>
    <row r="8" spans="1:26" ht="15">
      <c r="A8" s="1" t="s">
        <v>145</v>
      </c>
      <c r="B8" s="1" t="s">
        <v>145</v>
      </c>
      <c r="E8" s="1" t="s">
        <v>129</v>
      </c>
      <c r="I8" s="1" t="str">
        <v>Conv-FTL-T12-1.2M-3X-40W</v>
      </c>
      <c r="J8" s="1" t="str">
        <v>Conv-CFL-E27-1X-18W</v>
      </c>
      <c r="K8" s="1"/>
      <c r="L8" s="1" t="str">
        <v>Conv-MH-Flood Light-1X-400W</v>
      </c>
      <c r="M8" s="1" t="str">
        <v>Conv-MV-E40-1X-175W</v>
      </c>
      <c r="N8" s="1"/>
      <c r="O8" s="134" t="str">
        <v>Conv-Halogen-Flood Light-1X-250W</v>
      </c>
      <c r="P8" s="134" t="str">
        <v>Conv-HPS-Street Light-1X-400W</v>
      </c>
      <c r="Q8" s="134" t="str">
        <v>LED_Tube-T8-1.2M-3X-20W</v>
      </c>
      <c r="R8" s="134"/>
      <c r="S8" s="134" t="str">
        <v>LED_Bulb-E27-1X-35W</v>
      </c>
      <c r="T8" s="134" t="str">
        <v>LED_Panel_light-60X60-1X-96W</v>
      </c>
      <c r="U8" s="134" t="str">
        <v>LED_Downlight-8''-1X-35W</v>
      </c>
      <c r="V8" s="134" t="str">
        <v>LED_Flood_Light-Flood Light-1X-400W</v>
      </c>
      <c r="W8" s="134" t="str">
        <v>LED_High_Bay--1X-150W</v>
      </c>
      <c r="X8" s="134"/>
      <c r="Y8" s="134"/>
      <c r="Z8" s="134"/>
    </row>
    <row r="9" spans="1:26" ht="14.45" customHeight="1">
      <c r="A9" s="1" t="s">
        <v>109</v>
      </c>
      <c r="B9" s="1" t="s">
        <v>146</v>
      </c>
      <c r="C9"/>
      <c r="E9" s="1" t="s">
        <v>120</v>
      </c>
      <c r="I9" s="1" t="str">
        <v>Conv-FTL-T12-1.2M-4X-40W</v>
      </c>
      <c r="J9" s="1" t="str">
        <v>Conv-CFL-E27-1X-20W</v>
      </c>
      <c r="K9" s="1"/>
      <c r="L9" s="1" t="str">
        <v>Conv-MH-Downlight-1X-70W</v>
      </c>
      <c r="M9" s="1" t="str">
        <v>Conv-MV-E40-1X-110W</v>
      </c>
      <c r="N9" s="1"/>
      <c r="O9" s="134" t="str">
        <v>Conv-Halogen-Flood Light-1X-300W</v>
      </c>
      <c r="P9" s="134" t="str">
        <v>Conv-HPS-High Bay-1X-250W</v>
      </c>
      <c r="Q9" s="134" t="str">
        <v>LED_Tube-T8-1.2M-4X-20W</v>
      </c>
      <c r="R9" s="134"/>
      <c r="S9" s="134" t="str">
        <v>LED_Bulb-E28-1X-13W</v>
      </c>
      <c r="T9" s="134" t="str">
        <v>LED_Panel_light-60X60-1X-36W</v>
      </c>
      <c r="U9" s="134" t="str">
        <v>LED_Downlight-8''-1X-27W</v>
      </c>
      <c r="V9" s="134" t="str">
        <v>LED_Flood_Light--1X-40W</v>
      </c>
      <c r="W9" s="134" t="str">
        <v>LED_High_Bay--1X-400W</v>
      </c>
      <c r="X9" s="134"/>
      <c r="Y9" s="134"/>
      <c r="Z9" s="134"/>
    </row>
    <row r="10" spans="1:26" ht="14.45" customHeight="1">
      <c r="E10" s="1" t="s">
        <v>135</v>
      </c>
      <c r="I10" s="1" t="str">
        <v>Conv-FTL-T8-1.2M-1X-36W</v>
      </c>
      <c r="J10" s="1" t="str">
        <v>Conv-CFL-E27-1X-23W</v>
      </c>
      <c r="K10" s="1"/>
      <c r="L10" s="1" t="str">
        <v>Conv-MH-Down Light-1X-150W</v>
      </c>
      <c r="M10" s="1" t="str">
        <v>Conv-MV-E40-1X-125W</v>
      </c>
      <c r="N10" s="1"/>
      <c r="O10" s="134" t="str">
        <v>Conv-Halogen-Flood Light-1X-400W</v>
      </c>
      <c r="P10" s="134" t="str">
        <v>Conv-HPS-High Bay-1X-400W</v>
      </c>
      <c r="Q10" s="134" t="str">
        <v>LED_Tube-T8-1.2M-1X-18W</v>
      </c>
      <c r="R10" s="134"/>
      <c r="S10" s="134" t="str">
        <v>LED_Bulb-E29-1X-7W</v>
      </c>
      <c r="T10" s="134" t="str">
        <v>LED_Panel_light-60X60-1X-45W</v>
      </c>
      <c r="U10" s="134" t="str">
        <v>LED_Downlight-4"-1X-12W</v>
      </c>
      <c r="V10" s="134" t="str">
        <v>LED_Flood_Light--1X-600W</v>
      </c>
      <c r="W10" s="134"/>
      <c r="X10" s="134"/>
      <c r="Y10" s="134"/>
      <c r="Z10" s="134"/>
    </row>
    <row r="11" spans="1:26" ht="14.45" customHeight="1">
      <c r="E11" s="1" t="s">
        <v>128</v>
      </c>
      <c r="G11" s="135" t="s">
        <v>20</v>
      </c>
      <c r="I11" s="1" t="str">
        <v>Conv-FTL-T8-1.2M-2X-36W</v>
      </c>
      <c r="J11" s="1" t="str">
        <v>Conv-CFL-E27-1X-26W</v>
      </c>
      <c r="K11" s="1"/>
      <c r="L11" s="1" t="str">
        <v>Conv-MH-E40-1X-35W</v>
      </c>
      <c r="M11" s="1" t="str">
        <v>Conv-MV-E40-1X-35W</v>
      </c>
      <c r="N11" s="1"/>
      <c r="O11" s="134" t="str">
        <v>Conv-Halogen-Flood Light-1X-500W</v>
      </c>
      <c r="P11" s="134" t="str">
        <v>Conv-HPS-E40-1X-100W</v>
      </c>
      <c r="Q11" s="134" t="str">
        <v>LED_Tube-T8-1.2M-2X-18W</v>
      </c>
      <c r="R11" s="134"/>
      <c r="S11" s="134" t="str">
        <v>LED_Bulb-Fanoos-52X-12W</v>
      </c>
      <c r="T11" s="134" t="str">
        <v>LED_Panel_light-60X60-1X-55W</v>
      </c>
      <c r="U11" s="134" t="str">
        <v>LED_Downlight-4"-1X-13W</v>
      </c>
      <c r="V11" s="134"/>
      <c r="W11" s="134"/>
      <c r="X11" s="134"/>
      <c r="Y11" s="134"/>
      <c r="Z11" s="134"/>
    </row>
    <row r="12" spans="1:26" ht="14.45" customHeight="1">
      <c r="A12" s="136"/>
      <c r="B12" s="137" t="s">
        <v>178</v>
      </c>
      <c r="E12" s="1" t="s">
        <v>136</v>
      </c>
      <c r="G12" s="138">
        <v>0</v>
      </c>
      <c r="I12" s="134" t="str">
        <v>Conv-FTL-T8-1.2M-3X-36W</v>
      </c>
      <c r="J12" s="134" t="str">
        <v>Conv-CFL-E27-1X-30W</v>
      </c>
      <c r="K12" s="134"/>
      <c r="L12" s="134" t="str">
        <v>Conv-MH--1X-250W</v>
      </c>
      <c r="M12" s="134" t="str">
        <v>Conv-MV-E40-1X-40W</v>
      </c>
      <c r="N12" s="134"/>
      <c r="O12" s="134" t="str">
        <v>Conv-Halogen-Flood Light-1X-600W</v>
      </c>
      <c r="P12" s="134" t="str">
        <v>Conv-HPS-Street Light-1X-70W</v>
      </c>
      <c r="Q12" s="134" t="str">
        <v>LED_Tube-T8-1.2M-3X-18W</v>
      </c>
      <c r="R12" s="134"/>
      <c r="S12" s="134" t="str">
        <v>LED_Bulb-Fanoos-24X-12W</v>
      </c>
      <c r="T12" s="134" t="str">
        <v>LED_Panel_light-60X60-1X-50W</v>
      </c>
      <c r="U12" s="134" t="str">
        <v>LED_Downlight-6"-1X-16W</v>
      </c>
      <c r="V12" s="134"/>
      <c r="W12" s="134"/>
      <c r="X12" s="134"/>
      <c r="Y12" s="134"/>
      <c r="Z12" s="134"/>
    </row>
    <row r="13" spans="1:26" ht="14.45" customHeight="1">
      <c r="A13" s="139"/>
      <c r="B13" s="137" t="s">
        <v>179</v>
      </c>
      <c r="E13" s="1" t="s">
        <v>137</v>
      </c>
      <c r="G13" s="138">
        <v>2.0833333333333332E-2</v>
      </c>
      <c r="I13" s="134" t="str">
        <v>Conv-FTL-T8-1.2M-4X-36W</v>
      </c>
      <c r="J13" s="134" t="str">
        <v>Conv-CFL-E27-1X-40W</v>
      </c>
      <c r="K13" s="134"/>
      <c r="L13" s="134" t="str">
        <v>Conv-MH--1X-1000W</v>
      </c>
      <c r="M13" s="134" t="str">
        <v>Conv-MV-E40-1X-50W</v>
      </c>
      <c r="N13" s="134"/>
      <c r="O13" s="134" t="str">
        <v>Conv-Halogen-Flood Light-1X-1500W</v>
      </c>
      <c r="P13" s="134" t="str">
        <v>Conv-HPS-Street Light-1X-125W</v>
      </c>
      <c r="Q13" s="134" t="str">
        <v>LED_Tube-T8-1.2M-4X-18W</v>
      </c>
      <c r="R13" s="134"/>
      <c r="S13" s="134" t="str">
        <v>LED_Bulb-Steplight-1X-8W</v>
      </c>
      <c r="T13" s="134" t="str">
        <v>LED_Panel_light-60*60-1X-20W</v>
      </c>
      <c r="U13" s="134" t="str">
        <v>LED_Downlight-6"-1X-22W</v>
      </c>
      <c r="V13" s="134"/>
      <c r="W13" s="134"/>
      <c r="X13" s="134"/>
      <c r="Y13" s="134"/>
      <c r="Z13" s="134"/>
    </row>
    <row r="14" spans="1:26" ht="14.45" customHeight="1">
      <c r="A14" s="140"/>
      <c r="B14" s="137" t="s">
        <v>180</v>
      </c>
      <c r="E14" s="1" t="s">
        <v>138</v>
      </c>
      <c r="G14" s="138">
        <v>4.1666666666666699E-2</v>
      </c>
      <c r="I14" s="134" t="str">
        <v>Conv-FTL-T12-0.6M-1X-20W</v>
      </c>
      <c r="J14" s="134" t="str">
        <v>Conv-CFL-E40-1X-42W</v>
      </c>
      <c r="K14" s="134"/>
      <c r="L14" s="134" t="str">
        <v>Conv-MH--1X-800W</v>
      </c>
      <c r="M14" s="134" t="str">
        <v>Conv-MV-E40-1X-55W</v>
      </c>
      <c r="N14" s="134"/>
      <c r="O14" s="134" t="str">
        <v>Conv-Halogen-Flood Light-1X-2000W</v>
      </c>
      <c r="P14" s="134" t="str">
        <v>Conv-HPS-Street Light-1X-150W</v>
      </c>
      <c r="Q14" s="134" t="str">
        <v>LED_Tube-T8-0.6M-1X-20W</v>
      </c>
      <c r="R14" s="134"/>
      <c r="S14" s="134" t="str">
        <v>LED_Bulb-Lutch Light-1X-20W</v>
      </c>
      <c r="T14" s="134" t="str">
        <v>LED_Panel_light-60*60-1X-30W</v>
      </c>
      <c r="U14" s="134" t="str">
        <v>LED_Downlight-8"-1X-24W</v>
      </c>
      <c r="V14" s="134"/>
      <c r="W14" s="134"/>
      <c r="X14" s="134"/>
      <c r="Y14" s="134"/>
      <c r="Z14" s="134"/>
    </row>
    <row r="15" spans="1:26" ht="24" customHeight="1">
      <c r="A15" s="137" t="s">
        <v>181</v>
      </c>
      <c r="B15" s="137" t="s">
        <v>182</v>
      </c>
      <c r="E15" s="1" t="s">
        <v>139</v>
      </c>
      <c r="G15" s="138">
        <v>6.25E-2</v>
      </c>
      <c r="I15" s="134" t="str">
        <v>Conv-FTL-T12-0.6M-2X-20W</v>
      </c>
      <c r="J15" s="134" t="str">
        <v>Conv-CFL-E40-1X-60W</v>
      </c>
      <c r="K15" s="134"/>
      <c r="L15" s="134" t="str">
        <v>Conv-MH-E40 High Bay-1X-200W</v>
      </c>
      <c r="M15" s="134" t="str">
        <v>Conv-MV-Street Light-1X-150W</v>
      </c>
      <c r="N15" s="134"/>
      <c r="O15" s="134" t="str">
        <v>Conv-Halogen-Flood Light-1X-70W</v>
      </c>
      <c r="P15" s="134" t="str">
        <v>Conv-HPS-Street Light-1X-600W</v>
      </c>
      <c r="Q15" s="134" t="str">
        <v>LED_Tube-T8-0.6M-2X-20W</v>
      </c>
      <c r="R15" s="134"/>
      <c r="S15" s="134" t="str">
        <v>LED_Bulb-Floor Light-1X-50W</v>
      </c>
      <c r="T15" s="134" t="str">
        <v>LED_Panel_light-120*60-1X-72W</v>
      </c>
      <c r="U15" s="134" t="str">
        <v>LED_Downlight-8"-1X-60W</v>
      </c>
      <c r="V15" s="134"/>
      <c r="W15" s="134"/>
      <c r="X15" s="134"/>
      <c r="Y15" s="134"/>
      <c r="Z15" s="134"/>
    </row>
    <row r="16" spans="1:26" ht="14.45" customHeight="1">
      <c r="E16" s="1" t="s">
        <v>127</v>
      </c>
      <c r="G16" s="138">
        <v>8.3333333333333301E-2</v>
      </c>
      <c r="I16" s="134" t="str">
        <v>Conv-FTL-T12-0.6M-3X-20W</v>
      </c>
      <c r="J16" s="134" t="str">
        <v>Conv-CFL-E40-1X-65W</v>
      </c>
      <c r="K16" s="134"/>
      <c r="L16" s="134" t="str">
        <v>Conv-MH-Bulb E27-1X-35W</v>
      </c>
      <c r="M16" s="134" t="str">
        <v>Conv-MV-E27-Bulb-1X-60W</v>
      </c>
      <c r="N16" s="134"/>
      <c r="O16" s="134" t="str">
        <v>Conv-Halogen-6"-1X-200W</v>
      </c>
      <c r="P16" s="134" t="str">
        <v>Conv-HPS-Street Light-1X-200W</v>
      </c>
      <c r="Q16" s="134" t="str">
        <v>LED_Tube-T8-0.6M-3X-20W</v>
      </c>
      <c r="R16" s="134"/>
      <c r="S16" s="134" t="str">
        <v>LED_Bulb-HQL-1X-40W</v>
      </c>
      <c r="T16" s="134" t="str">
        <v>LED_Panel_light-60x60-1X-68W</v>
      </c>
      <c r="U16" s="134" t="str">
        <v>LED_Downlight-4"-1X-26W</v>
      </c>
      <c r="V16" s="134"/>
      <c r="W16" s="134"/>
      <c r="X16" s="134"/>
      <c r="Y16" s="134"/>
      <c r="Z16" s="134"/>
    </row>
    <row r="17" spans="1:26" ht="14.45" customHeight="1">
      <c r="E17" s="1" t="s">
        <v>126</v>
      </c>
      <c r="G17" s="138">
        <v>0.104166666666667</v>
      </c>
      <c r="I17" s="134" t="str">
        <v>Conv-FTL-T12-0.6M-4X-20W</v>
      </c>
      <c r="J17" s="134" t="str">
        <v>Conv-CFL-E40-1X-80W</v>
      </c>
      <c r="K17" s="134"/>
      <c r="L17" s="134" t="str">
        <v>Conv-MH-Street Light-1X-250W</v>
      </c>
      <c r="M17" s="134"/>
      <c r="N17" s="134"/>
      <c r="O17" s="134" t="str">
        <v>Conv-Halogen-6"-1X-30W</v>
      </c>
      <c r="P17" s="134"/>
      <c r="Q17" s="134" t="str">
        <v>LED_Tube-T8-0.6M-4X-20W</v>
      </c>
      <c r="R17" s="134"/>
      <c r="S17" s="134" t="str">
        <v>LED_Bulb-E27-1X-50W</v>
      </c>
      <c r="T17" s="134"/>
      <c r="U17" s="134" t="str">
        <v>LED_Downlight-6"-1X-15W</v>
      </c>
      <c r="V17" s="134"/>
      <c r="W17" s="134"/>
      <c r="X17" s="134"/>
      <c r="Y17" s="134"/>
      <c r="Z17" s="134"/>
    </row>
    <row r="18" spans="1:26" ht="14.45" customHeight="1">
      <c r="E18" s="141"/>
      <c r="G18" s="138">
        <v>0.125</v>
      </c>
      <c r="I18" s="134" t="str">
        <v>Conv-FTL-T8-0.6M-1X-18W</v>
      </c>
      <c r="J18" s="134" t="str">
        <v>Conv-CFL-2Pin-2X-23W</v>
      </c>
      <c r="K18" s="134"/>
      <c r="L18" s="134" t="str">
        <v>Conv-MH-Street Light-1X-400W</v>
      </c>
      <c r="M18" s="134"/>
      <c r="N18" s="134"/>
      <c r="O18" s="134" t="str">
        <v>Conv-Halogen-6"-1X-28W</v>
      </c>
      <c r="P18" s="134"/>
      <c r="Q18" s="134" t="str">
        <v>LED_Tube-T8-0.6M-1X-18W</v>
      </c>
      <c r="R18" s="134"/>
      <c r="S18" s="134" t="str">
        <v>LED_Bulb--20X-12W</v>
      </c>
      <c r="T18" s="134"/>
      <c r="U18" s="134" t="str">
        <v>LED_Downlight-6"-1X-12W</v>
      </c>
      <c r="V18" s="134"/>
      <c r="W18" s="134"/>
      <c r="X18" s="134"/>
      <c r="Y18" s="134"/>
      <c r="Z18" s="134"/>
    </row>
    <row r="19" spans="1:26" ht="14.45" customHeight="1">
      <c r="E19" s="142" t="s">
        <v>84</v>
      </c>
      <c r="F19" s="161" t="s">
        <v>149</v>
      </c>
      <c r="G19" s="138">
        <v>0.14583333333333301</v>
      </c>
      <c r="I19" s="134" t="str">
        <v>Conv-FTL-T8-0.6M-2X-18W</v>
      </c>
      <c r="J19" s="134" t="str">
        <v>Conv-CFL-2Pin-2X-26W</v>
      </c>
      <c r="K19" s="134"/>
      <c r="L19" s="134" t="str">
        <v>Conv-MH-FloodLight-1X-65W</v>
      </c>
      <c r="M19" s="134"/>
      <c r="N19" s="134"/>
      <c r="O19" s="134" t="str">
        <v>Conv-Halogen-6"-1X-60W</v>
      </c>
      <c r="P19" s="134"/>
      <c r="Q19" s="134" t="str">
        <v>LED_Tube-T8-0.6M-2X-18W</v>
      </c>
      <c r="R19" s="134"/>
      <c r="S19" s="134" t="str">
        <v>LED_Bulb--1X-18W</v>
      </c>
      <c r="T19" s="134"/>
      <c r="U19" s="134" t="str">
        <v>LED_Downlight-8"-1X-18W</v>
      </c>
      <c r="V19" s="134"/>
      <c r="W19" s="134"/>
      <c r="X19" s="134"/>
      <c r="Y19" s="134"/>
      <c r="Z19" s="134"/>
    </row>
    <row r="20" spans="1:26" ht="14.45" customHeight="1">
      <c r="E20" s="143" t="s">
        <v>80</v>
      </c>
      <c r="F20" s="134">
        <v>50</v>
      </c>
      <c r="G20" s="138">
        <v>0.16666666666666699</v>
      </c>
      <c r="I20" s="134" t="str">
        <v>Conv-FTL-T8-0.6M-3X-18W</v>
      </c>
      <c r="J20" s="134" t="str">
        <v>Conv-CFL-2Pin-1X-13W</v>
      </c>
      <c r="K20" s="134"/>
      <c r="L20" s="134" t="str">
        <v>Conv-MH-HQL-E40-1X-400W</v>
      </c>
      <c r="M20" s="134"/>
      <c r="N20" s="134"/>
      <c r="O20" s="134" t="str">
        <v>Conv-Halogen-6"-1X-100W</v>
      </c>
      <c r="P20" s="134"/>
      <c r="Q20" s="134" t="str">
        <v>LED_Tube-T8-0.6M-3X-18W</v>
      </c>
      <c r="R20" s="134"/>
      <c r="S20" s="134" t="str">
        <v>LED_Bulb--1X-30W</v>
      </c>
      <c r="T20" s="134"/>
      <c r="U20" s="134" t="str">
        <v>LED_Downlight-3"-1X-10W</v>
      </c>
      <c r="V20" s="134"/>
      <c r="W20" s="134"/>
      <c r="X20" s="134"/>
      <c r="Y20" s="134"/>
      <c r="Z20" s="134"/>
    </row>
    <row r="21" spans="1:26" ht="14.45" customHeight="1">
      <c r="E21" s="143" t="s">
        <v>93</v>
      </c>
      <c r="F21" s="134">
        <v>50</v>
      </c>
      <c r="G21" s="138">
        <v>0.1875</v>
      </c>
      <c r="I21" s="134" t="str">
        <v>Conv-FTL-T8-0.6M-4X-18W</v>
      </c>
      <c r="J21" s="134" t="str">
        <v>Conv-CFL-2Pin-1X-18W</v>
      </c>
      <c r="K21" s="134"/>
      <c r="L21" s="134" t="str">
        <v>Conv-MH-High Bay-1X-400W</v>
      </c>
      <c r="M21" s="134"/>
      <c r="N21" s="134"/>
      <c r="O21" s="134" t="str">
        <v>Conv-Halogen--1X-35W</v>
      </c>
      <c r="P21" s="134"/>
      <c r="Q21" s="134" t="str">
        <v>LED_Tube-T8-0.6M-4X-18W</v>
      </c>
      <c r="R21" s="134"/>
      <c r="S21" s="134" t="str">
        <v>LED_Bulb- E27-1X-24W</v>
      </c>
      <c r="T21" s="134"/>
      <c r="U21" s="134" t="str">
        <v>LED_Downlight-3"-1X-4.5W</v>
      </c>
      <c r="V21" s="134"/>
      <c r="W21" s="134"/>
      <c r="X21" s="134"/>
      <c r="Y21" s="134"/>
      <c r="Z21" s="134"/>
    </row>
    <row r="22" spans="1:26" ht="14.45" customHeight="1">
      <c r="E22" s="143" t="s">
        <v>107</v>
      </c>
      <c r="F22" s="134">
        <v>10</v>
      </c>
      <c r="G22" s="138">
        <v>0.20833333333333301</v>
      </c>
      <c r="I22" s="134" t="str">
        <v>Conv-FTL-T5-1.5M-1X-35W</v>
      </c>
      <c r="J22" s="134" t="str">
        <v>Conv-CFL-2Pin-1X-24W</v>
      </c>
      <c r="K22" s="134"/>
      <c r="L22" s="134" t="str">
        <v>Conv-MH-FloodLight-1X-400W</v>
      </c>
      <c r="M22" s="134"/>
      <c r="N22" s="134"/>
      <c r="O22" s="134" t="str">
        <v>Conv-Halogen-E27-1X-100W</v>
      </c>
      <c r="P22" s="134"/>
      <c r="Q22" s="134" t="str">
        <v>Conv-LED_Tube-T8-1.2M-3X-36W</v>
      </c>
      <c r="R22" s="134"/>
      <c r="S22" s="134" t="str">
        <v>LED_Bulb- E27-1X-40W</v>
      </c>
      <c r="T22" s="134"/>
      <c r="U22" s="134" t="str">
        <v>LED_Downlight-3"-1X-7W</v>
      </c>
      <c r="V22" s="134"/>
      <c r="W22" s="134"/>
      <c r="X22" s="134"/>
      <c r="Y22" s="134"/>
      <c r="Z22" s="134"/>
    </row>
    <row r="23" spans="1:26" ht="14.45" customHeight="1">
      <c r="A23" s="144" t="s">
        <v>147</v>
      </c>
      <c r="B23" s="144"/>
      <c r="C23" s="144"/>
      <c r="E23" s="143" t="s">
        <v>109</v>
      </c>
      <c r="F23" s="134">
        <v>50</v>
      </c>
      <c r="G23" s="138">
        <v>0.22916666666666699</v>
      </c>
      <c r="I23" s="134" t="str">
        <v>Conv-FTL-T5-1.5M-2X-35W</v>
      </c>
      <c r="J23" s="134" t="str">
        <v>Conv-CFL-2Pin-1X-26W</v>
      </c>
      <c r="K23" s="134"/>
      <c r="L23" s="134" t="str">
        <v>Conv-MH-HQL-E40-1X-250W</v>
      </c>
      <c r="M23" s="134"/>
      <c r="N23" s="134"/>
      <c r="O23" s="134" t="str">
        <v>Conv-Halogen-Spot Light-1X-20W</v>
      </c>
      <c r="P23" s="134"/>
      <c r="Q23" s="134" t="str">
        <v>LED_Tube-T8-0.6M-4X-10W</v>
      </c>
      <c r="R23" s="134"/>
      <c r="S23" s="134" t="str">
        <v>LED_Bulb-E27-1X-18W</v>
      </c>
      <c r="T23" s="134"/>
      <c r="U23" s="134" t="str">
        <v>LED_Downlight-6"-1X-18W</v>
      </c>
      <c r="V23" s="134"/>
      <c r="W23" s="134"/>
      <c r="X23" s="134"/>
      <c r="Y23" s="134"/>
      <c r="Z23" s="134"/>
    </row>
    <row r="24" spans="1:26" ht="14.45" customHeight="1">
      <c r="A24" s="145" t="s">
        <v>83</v>
      </c>
      <c r="B24" s="145" t="s">
        <v>148</v>
      </c>
      <c r="C24" s="145" t="s">
        <v>149</v>
      </c>
      <c r="E24" s="143" t="s">
        <v>114</v>
      </c>
      <c r="F24" s="134">
        <v>35</v>
      </c>
      <c r="G24" s="138">
        <v>0.25</v>
      </c>
      <c r="I24" s="134" t="str">
        <v>Conv-FTL-T5-1.5M-3X-35W</v>
      </c>
      <c r="J24" s="134" t="str">
        <v>Conv-CFL-4Pin-1X-18W</v>
      </c>
      <c r="K24" s="134"/>
      <c r="L24" s="134" t="str">
        <v>Conv-MH-High Bay-1X-100W</v>
      </c>
      <c r="M24" s="134"/>
      <c r="N24" s="134"/>
      <c r="O24" s="134" t="str">
        <v>Conv-Halogen-DL Celinder-1X-100W</v>
      </c>
      <c r="P24" s="134"/>
      <c r="Q24" s="134" t="str">
        <v>LED_Tube-T8-1.2M-2X-60W</v>
      </c>
      <c r="R24" s="134"/>
      <c r="S24" s="134" t="str">
        <v>LED_Bulb-E27-1X-30W</v>
      </c>
      <c r="T24" s="134"/>
      <c r="U24" s="134" t="str">
        <v>LED_Downlight-surface 10"-1X-20W</v>
      </c>
      <c r="V24" s="134"/>
      <c r="W24" s="134"/>
      <c r="X24" s="134"/>
      <c r="Y24" s="134"/>
      <c r="Z24" s="134"/>
    </row>
    <row r="25" spans="1:26" ht="14.45" customHeight="1">
      <c r="A25" s="146">
        <v>1</v>
      </c>
      <c r="B25" s="146" t="s">
        <v>150</v>
      </c>
      <c r="C25" s="147" t="s">
        <v>151</v>
      </c>
      <c r="E25" s="143" t="s">
        <v>145</v>
      </c>
      <c r="F25" s="134">
        <v>10</v>
      </c>
      <c r="G25" s="138">
        <v>0.27083333333333298</v>
      </c>
      <c r="I25" s="134" t="str">
        <v>Conv-FTL-T5-1.5M-4X-35W</v>
      </c>
      <c r="J25" s="134" t="str">
        <v>Conv-CFL-4Pin-1X-26W</v>
      </c>
      <c r="K25" s="134"/>
      <c r="L25" s="134"/>
      <c r="M25" s="134"/>
      <c r="N25" s="134"/>
      <c r="O25" s="134" t="str">
        <v>Conv-Halogen-High Bay-1X-100W</v>
      </c>
      <c r="P25" s="134"/>
      <c r="Q25" s="134" t="str">
        <v>LED_Tube--0.6M-2X-10W</v>
      </c>
      <c r="R25" s="134"/>
      <c r="S25" s="134" t="str">
        <v>LED_Bulb-E27-1X-20W</v>
      </c>
      <c r="T25" s="134"/>
      <c r="U25" s="134" t="str">
        <v>LED_Downlight-surface 10"-1X-35W</v>
      </c>
      <c r="V25" s="134"/>
      <c r="W25" s="134"/>
      <c r="X25" s="134"/>
      <c r="Y25" s="134"/>
      <c r="Z25" s="134"/>
    </row>
    <row r="26" spans="1:26" ht="14.45" customHeight="1">
      <c r="A26" s="146">
        <v>2</v>
      </c>
      <c r="B26" s="146" t="s">
        <v>152</v>
      </c>
      <c r="C26" s="147" t="s">
        <v>153</v>
      </c>
      <c r="E26" s="143" t="s">
        <v>142</v>
      </c>
      <c r="F26" s="134">
        <v>10</v>
      </c>
      <c r="G26" s="138">
        <v>0.29166666666666702</v>
      </c>
      <c r="I26" s="134" t="str">
        <v>Conv-FTL-T5-1.2M-1X-28W</v>
      </c>
      <c r="J26" s="134" t="str">
        <v>Conv-CFL-4Pin-1X-110W</v>
      </c>
      <c r="K26" s="134"/>
      <c r="L26" s="134"/>
      <c r="M26" s="134"/>
      <c r="N26" s="134"/>
      <c r="O26" s="134" t="str">
        <v>Conv-Halogen-FloodLight-1X-200W</v>
      </c>
      <c r="P26" s="134"/>
      <c r="Q26" s="134" t="str">
        <v>LED_Tube--0.6M-1X-10W</v>
      </c>
      <c r="R26" s="134"/>
      <c r="S26" s="134" t="str">
        <v>LED_Bulb-E27-1X-24W</v>
      </c>
      <c r="T26" s="134"/>
      <c r="U26" s="134" t="str">
        <v>LED_Downlight-surface 8"-1X-18W</v>
      </c>
      <c r="V26" s="134"/>
      <c r="W26" s="134"/>
      <c r="X26" s="134"/>
      <c r="Y26" s="134"/>
      <c r="Z26" s="134"/>
    </row>
    <row r="27" spans="1:26" ht="14.45" customHeight="1">
      <c r="A27" s="146">
        <v>3</v>
      </c>
      <c r="B27" s="146" t="s">
        <v>154</v>
      </c>
      <c r="C27" s="147">
        <v>50</v>
      </c>
      <c r="E27" s="143" t="s">
        <v>116</v>
      </c>
      <c r="F27" s="134">
        <v>50</v>
      </c>
      <c r="G27" s="138">
        <v>0.3125</v>
      </c>
      <c r="I27" s="134" t="str">
        <v>Conv-FTL-T5-1.2M-2X-28W</v>
      </c>
      <c r="J27" s="134" t="str">
        <v>Conv-CFL-4Pin-1X-13W</v>
      </c>
      <c r="K27" s="134"/>
      <c r="L27" s="134"/>
      <c r="M27" s="134"/>
      <c r="N27" s="134"/>
      <c r="O27" s="134"/>
      <c r="P27" s="134"/>
      <c r="Q27" s="134" t="str">
        <v>LED_Tube-T20-0.6M-1X-30W</v>
      </c>
      <c r="R27" s="134"/>
      <c r="S27" s="134" t="str">
        <v>LED_Bulb-E27-1X-50W</v>
      </c>
      <c r="T27" s="134"/>
      <c r="U27" s="134" t="str">
        <v>LED_Downlight-Square-10*10-1X-8W</v>
      </c>
      <c r="V27" s="134"/>
      <c r="W27" s="134"/>
      <c r="X27" s="134"/>
      <c r="Y27" s="134"/>
      <c r="Z27" s="134"/>
    </row>
    <row r="28" spans="1:26" ht="14.45" customHeight="1">
      <c r="A28" s="146">
        <v>4</v>
      </c>
      <c r="B28" s="146" t="s">
        <v>155</v>
      </c>
      <c r="C28" s="147" t="s">
        <v>156</v>
      </c>
      <c r="E28" s="143" t="s">
        <v>187</v>
      </c>
      <c r="F28" s="134">
        <v>75</v>
      </c>
      <c r="G28" s="138">
        <v>0.33333333333333298</v>
      </c>
      <c r="I28" s="134" t="str">
        <v>Conv-FTL-T5-1.2M-3X-28W</v>
      </c>
      <c r="J28" s="134" t="str">
        <v>Conv-CFL-4Pin-1X-24W</v>
      </c>
      <c r="K28" s="134"/>
      <c r="L28" s="134"/>
      <c r="M28" s="134"/>
      <c r="N28" s="134"/>
      <c r="O28" s="134"/>
      <c r="P28" s="134"/>
      <c r="Q28" s="134" t="str">
        <v>LED_Tube-T20-0.6M-1X-34W</v>
      </c>
      <c r="R28" s="134"/>
      <c r="S28" s="134" t="str">
        <v>LED_Bulb-HQL-E27-1X-250W</v>
      </c>
      <c r="T28" s="134"/>
      <c r="U28" s="134" t="str">
        <v>LED_Downlight-Square-12in-1X-17W</v>
      </c>
      <c r="V28" s="134"/>
      <c r="W28" s="134"/>
      <c r="X28" s="134"/>
      <c r="Y28" s="134"/>
      <c r="Z28" s="134"/>
    </row>
    <row r="29" spans="1:26" ht="14.45" customHeight="1">
      <c r="A29" s="146">
        <v>5</v>
      </c>
      <c r="B29" s="146" t="s">
        <v>157</v>
      </c>
      <c r="C29" s="147" t="s">
        <v>158</v>
      </c>
      <c r="E29" s="143" t="s">
        <v>188</v>
      </c>
      <c r="F29" s="134">
        <v>70</v>
      </c>
      <c r="G29" s="138">
        <v>0.35416666666666702</v>
      </c>
      <c r="I29" s="134" t="str">
        <v>Conv-FTL-T5-1.2M-4X-28W</v>
      </c>
      <c r="J29" s="134" t="str">
        <v>Conv-CFL-4Pin-1X-27W</v>
      </c>
      <c r="K29" s="134"/>
      <c r="L29" s="134"/>
      <c r="M29" s="134"/>
      <c r="N29" s="134"/>
      <c r="O29" s="134"/>
      <c r="P29" s="134"/>
      <c r="Q29" s="134" t="str">
        <v>LED_Tube-T8-1.2M-3X-22W</v>
      </c>
      <c r="R29" s="134"/>
      <c r="S29" s="134" t="str">
        <v>LED_Bulb-HQL-E27-1X-80W</v>
      </c>
      <c r="T29" s="134"/>
      <c r="U29" s="134" t="str">
        <v>LED_Downlight-Square-17in-1X-22W</v>
      </c>
      <c r="V29" s="134"/>
      <c r="W29" s="134"/>
      <c r="X29" s="134"/>
      <c r="Y29" s="134"/>
      <c r="Z29" s="134"/>
    </row>
    <row r="30" spans="1:26" ht="14.45" customHeight="1">
      <c r="A30" s="146">
        <v>6</v>
      </c>
      <c r="B30" s="146" t="s">
        <v>159</v>
      </c>
      <c r="C30" s="147" t="s">
        <v>160</v>
      </c>
      <c r="E30" s="143" t="s">
        <v>189</v>
      </c>
      <c r="F30" s="134">
        <v>75</v>
      </c>
      <c r="G30" s="138">
        <v>0.375</v>
      </c>
      <c r="I30" s="134" t="str">
        <v>Conv-FTL-T5-0.6M-1X-14W</v>
      </c>
      <c r="J30" s="134" t="str">
        <v>Conv-CFL-4Pin-1X-28W</v>
      </c>
      <c r="K30" s="134"/>
      <c r="L30" s="134"/>
      <c r="M30" s="134"/>
      <c r="N30" s="134"/>
      <c r="O30" s="134"/>
      <c r="P30" s="134"/>
      <c r="Q30" s="134" t="str">
        <v>LED_Tube-T8-1.2M-2X-22W</v>
      </c>
      <c r="R30" s="134"/>
      <c r="S30" s="134" t="str">
        <v>LED_Bulb-HQL-E27-1X-125W</v>
      </c>
      <c r="T30" s="134"/>
      <c r="U30" s="134" t="str">
        <v>LED_Downlight-Surface-12in-1X-30W</v>
      </c>
      <c r="V30" s="134"/>
      <c r="W30" s="134"/>
      <c r="X30" s="134"/>
      <c r="Y30" s="134"/>
      <c r="Z30" s="134"/>
    </row>
    <row r="31" spans="1:26" ht="14.45" customHeight="1">
      <c r="A31" s="146">
        <v>7</v>
      </c>
      <c r="B31" s="146" t="s">
        <v>161</v>
      </c>
      <c r="C31" s="147">
        <v>70</v>
      </c>
      <c r="E31" s="143" t="s">
        <v>766</v>
      </c>
      <c r="F31" s="134">
        <v>75</v>
      </c>
      <c r="G31" s="138">
        <v>0.39583333333333298</v>
      </c>
      <c r="I31" s="134" t="str">
        <v>Conv-FTL-T5-0.6M-2X-14W</v>
      </c>
      <c r="J31" s="134" t="str">
        <v>Conv-CFL-4Pin-1X-35W</v>
      </c>
      <c r="K31" s="134"/>
      <c r="L31" s="134"/>
      <c r="M31" s="134"/>
      <c r="N31" s="134"/>
      <c r="O31" s="134"/>
      <c r="P31" s="134"/>
      <c r="Q31" s="134" t="str">
        <v>LED_Tube-T8-1.2M-2X-50W</v>
      </c>
      <c r="R31" s="134"/>
      <c r="S31" s="134" t="str">
        <v>LED_Bulb-HQL-E40-1X-250W</v>
      </c>
      <c r="T31" s="134"/>
      <c r="U31" s="134" t="str">
        <v>LED_Downlight-8in-1X-15W</v>
      </c>
      <c r="V31" s="134"/>
      <c r="W31" s="134"/>
      <c r="X31" s="134"/>
      <c r="Y31" s="134"/>
      <c r="Z31" s="134"/>
    </row>
    <row r="32" spans="1:26" ht="14.45" customHeight="1">
      <c r="A32" s="146">
        <v>8</v>
      </c>
      <c r="B32" s="146" t="s">
        <v>162</v>
      </c>
      <c r="C32" s="147">
        <v>75</v>
      </c>
      <c r="E32" s="143" t="s">
        <v>190</v>
      </c>
      <c r="F32" s="134">
        <v>75</v>
      </c>
      <c r="G32" s="138">
        <v>0.41666666666666702</v>
      </c>
      <c r="I32" s="134" t="str">
        <v>Conv-FTL-T5-0.6M-3X-14W</v>
      </c>
      <c r="J32" s="134" t="str">
        <v>Conv-CFL-4Pin-1X-55W</v>
      </c>
      <c r="K32" s="134"/>
      <c r="L32" s="134"/>
      <c r="M32" s="134"/>
      <c r="N32" s="134"/>
      <c r="O32" s="134"/>
      <c r="P32" s="134"/>
      <c r="Q32" s="134" t="str">
        <v>LED_Tube-T8-1.2M-8X-50W</v>
      </c>
      <c r="R32" s="134"/>
      <c r="S32" s="134" t="str">
        <v>LED_Bulb-HW-E27-1X-100W</v>
      </c>
      <c r="T32" s="134"/>
      <c r="U32" s="134" t="str">
        <v>LED_Downlight-Surface 6in-1X-18W</v>
      </c>
      <c r="V32" s="134"/>
      <c r="W32" s="134"/>
      <c r="X32" s="134"/>
      <c r="Y32" s="134"/>
      <c r="Z32" s="134"/>
    </row>
    <row r="33" spans="1:26" ht="14.45" customHeight="1">
      <c r="A33" s="146">
        <v>9</v>
      </c>
      <c r="B33" s="146" t="s">
        <v>163</v>
      </c>
      <c r="C33" s="147" t="s">
        <v>164</v>
      </c>
      <c r="E33" s="143" t="s">
        <v>767</v>
      </c>
      <c r="F33" s="134">
        <v>80</v>
      </c>
      <c r="G33" s="138">
        <v>0.4375</v>
      </c>
      <c r="I33" s="134" t="str">
        <v>Conv-FTL-T5-0.6M-4X-14W</v>
      </c>
      <c r="J33" s="134" t="str">
        <v>Conv-CFL-E27-1X-11W</v>
      </c>
      <c r="K33" s="134"/>
      <c r="L33" s="134"/>
      <c r="M33" s="134"/>
      <c r="N33" s="134"/>
      <c r="O33" s="134"/>
      <c r="P33" s="134"/>
      <c r="Q33" s="134" t="str">
        <v>LED_Tube-T8-1.2M-1X-50W</v>
      </c>
      <c r="R33" s="134"/>
      <c r="S33" s="134" t="str">
        <v>LED_Bulb-E27-1X-10W</v>
      </c>
      <c r="T33" s="134"/>
      <c r="U33" s="134" t="str">
        <v>LED_Downlight-Surface 6in-1X-20W</v>
      </c>
      <c r="V33" s="134"/>
      <c r="W33" s="134"/>
      <c r="X33" s="134"/>
      <c r="Y33" s="134"/>
      <c r="Z33" s="134"/>
    </row>
    <row r="34" spans="1:26" ht="14.45" customHeight="1">
      <c r="E34" s="143" t="s">
        <v>191</v>
      </c>
      <c r="F34" s="134">
        <v>80</v>
      </c>
      <c r="G34" s="138">
        <v>0.45833333333333298</v>
      </c>
      <c r="I34" s="134" t="str">
        <v>Conv-FTL--0.6M-2X-22W</v>
      </c>
      <c r="J34" s="134" t="str">
        <v>Conv-CFL-E27-1X-70W</v>
      </c>
      <c r="K34" s="134"/>
      <c r="L34" s="134"/>
      <c r="M34" s="134"/>
      <c r="N34" s="134"/>
      <c r="O34" s="134"/>
      <c r="P34" s="134"/>
      <c r="Q34" s="134" t="str">
        <v>LED_Tube-T8-1.2M-6X-50W</v>
      </c>
      <c r="R34" s="134"/>
      <c r="S34" s="134"/>
      <c r="T34" s="134"/>
      <c r="U34" s="134" t="str">
        <v>LED_Downlight-Surface 8in-1X-30W</v>
      </c>
      <c r="V34" s="134"/>
      <c r="W34" s="134"/>
      <c r="X34" s="134"/>
      <c r="Y34" s="134"/>
      <c r="Z34" s="134"/>
    </row>
    <row r="35" spans="1:26" ht="14.45" customHeight="1">
      <c r="E35" s="143" t="s">
        <v>192</v>
      </c>
      <c r="F35" s="134">
        <v>80</v>
      </c>
      <c r="G35" s="138">
        <v>0.47916666666666702</v>
      </c>
      <c r="I35" s="134" t="str">
        <v>Conv-FTL--0.6M-1X-10W</v>
      </c>
      <c r="J35" s="134" t="str">
        <v>Conv-CFL-E27-2X-100W</v>
      </c>
      <c r="K35" s="134"/>
      <c r="L35" s="134"/>
      <c r="M35" s="134"/>
      <c r="N35" s="134"/>
      <c r="O35" s="134"/>
      <c r="P35" s="134"/>
      <c r="Q35" s="134" t="str">
        <v>LED_Tube-T8-1.2M-3X-50W</v>
      </c>
      <c r="R35" s="134"/>
      <c r="S35" s="134"/>
      <c r="T35" s="134"/>
      <c r="U35" s="134" t="str">
        <v>LED_Downlight-4"-1X-10W</v>
      </c>
      <c r="V35" s="134"/>
      <c r="W35" s="134"/>
      <c r="X35" s="134"/>
      <c r="Y35" s="134"/>
      <c r="Z35" s="134"/>
    </row>
    <row r="36" spans="1:26" ht="14.45" customHeight="1">
      <c r="A36" s="266" t="s">
        <v>183</v>
      </c>
      <c r="B36" s="266"/>
      <c r="E36" s="143" t="s">
        <v>193</v>
      </c>
      <c r="F36" s="134">
        <v>75</v>
      </c>
      <c r="G36" s="138">
        <v>0.5</v>
      </c>
      <c r="I36" s="134" t="str">
        <v>Conv-FTL-T8-1.2M-2X-22W</v>
      </c>
      <c r="J36" s="134" t="str">
        <v>Conv-CFL-E27-2X-18W</v>
      </c>
      <c r="K36" s="134"/>
      <c r="L36" s="134"/>
      <c r="M36" s="134"/>
      <c r="N36" s="134"/>
      <c r="O36" s="134"/>
      <c r="P36" s="134"/>
      <c r="Q36" s="134" t="str">
        <v>LED_Tube-T8-1.2M-4X-50W</v>
      </c>
      <c r="R36" s="134"/>
      <c r="S36" s="134"/>
      <c r="T36" s="134"/>
      <c r="U36" s="134" t="str">
        <v>LED_Downlight-6"-1X-30W</v>
      </c>
      <c r="V36" s="134"/>
      <c r="W36" s="134"/>
      <c r="X36" s="134"/>
      <c r="Y36" s="134"/>
      <c r="Z36" s="134"/>
    </row>
    <row r="37" spans="1:26" ht="14.45" customHeight="1">
      <c r="A37" s="148" t="s">
        <v>83</v>
      </c>
      <c r="B37" s="148" t="s">
        <v>148</v>
      </c>
      <c r="E37" s="143" t="s">
        <v>194</v>
      </c>
      <c r="F37" s="134">
        <v>70</v>
      </c>
      <c r="G37" s="138">
        <v>0.52083333333333304</v>
      </c>
      <c r="I37" s="134" t="str">
        <v>Conv-FTL-T8-1.2M-3X-48W</v>
      </c>
      <c r="J37" s="134" t="str">
        <v>Conv-CFL-Table Light-1X-40W</v>
      </c>
      <c r="K37" s="134"/>
      <c r="L37" s="134"/>
      <c r="M37" s="134"/>
      <c r="N37" s="134"/>
      <c r="O37" s="134"/>
      <c r="P37" s="134"/>
      <c r="Q37" s="134" t="str">
        <v>LED_Tube-T8-1.2M-11X-20W</v>
      </c>
      <c r="R37" s="134"/>
      <c r="S37" s="134"/>
      <c r="T37" s="134"/>
      <c r="U37" s="134"/>
      <c r="V37" s="134"/>
      <c r="W37" s="134"/>
      <c r="X37" s="134"/>
      <c r="Y37" s="134"/>
      <c r="Z37" s="134"/>
    </row>
    <row r="38" spans="1:26" ht="14.45" customHeight="1">
      <c r="A38" s="149">
        <v>1</v>
      </c>
      <c r="B38" s="149" t="s">
        <v>109</v>
      </c>
      <c r="E38" s="162" t="s">
        <v>185</v>
      </c>
      <c r="G38" s="138">
        <v>0.54166666666666696</v>
      </c>
      <c r="I38" s="134" t="str">
        <v>Conv-FTL-T8-1.2M-1X-60W</v>
      </c>
      <c r="J38" s="134" t="str">
        <v>Conv-CFL-Lock-0X-0W</v>
      </c>
      <c r="K38" s="134"/>
      <c r="L38" s="134"/>
      <c r="M38" s="134"/>
      <c r="N38" s="134"/>
      <c r="O38" s="134"/>
      <c r="P38" s="134"/>
      <c r="Q38" s="134" t="str">
        <v>LED_Tube-T8-1.2M-2X-50W</v>
      </c>
      <c r="R38" s="134"/>
      <c r="S38" s="134"/>
      <c r="T38" s="134"/>
      <c r="U38" s="134"/>
      <c r="V38" s="134"/>
      <c r="W38" s="134"/>
      <c r="X38" s="134"/>
      <c r="Y38" s="134"/>
      <c r="Z38" s="134"/>
    </row>
    <row r="39" spans="1:26" ht="14.45" customHeight="1">
      <c r="A39" s="149">
        <v>2</v>
      </c>
      <c r="B39" s="149" t="s">
        <v>176</v>
      </c>
      <c r="E39" s="150"/>
      <c r="G39" s="138">
        <v>0.5625</v>
      </c>
      <c r="I39" s="134" t="str">
        <v>Conv-FTL-T8-1.2M-1X-18W</v>
      </c>
      <c r="J39" s="134" t="str">
        <v>Conv-CFL-E27-2X-48W</v>
      </c>
      <c r="K39" s="134"/>
      <c r="L39" s="134"/>
      <c r="M39" s="134"/>
      <c r="N39" s="134"/>
      <c r="O39" s="134"/>
      <c r="P39" s="134"/>
      <c r="Q39" s="134" t="str">
        <v>LED_Tube-T5-1.5m2X-37W</v>
      </c>
      <c r="R39" s="134"/>
      <c r="S39" s="134"/>
      <c r="T39" s="134"/>
      <c r="U39" s="134"/>
      <c r="V39" s="134"/>
      <c r="W39" s="134"/>
      <c r="X39" s="134"/>
      <c r="Y39" s="134"/>
      <c r="Z39" s="134"/>
    </row>
    <row r="40" spans="1:26" ht="14.45" customHeight="1">
      <c r="A40" s="149">
        <v>3</v>
      </c>
      <c r="B40" s="149" t="s">
        <v>152</v>
      </c>
      <c r="E40" s="150"/>
      <c r="G40" s="138">
        <v>0.58333333333333304</v>
      </c>
      <c r="I40" s="134" t="str">
        <v>Conv-FTL-T8-0.6M-1X-20W</v>
      </c>
      <c r="J40" s="134" t="str">
        <v>Conv-CFL-Exit Light-1X-8W</v>
      </c>
      <c r="K40" s="134"/>
      <c r="L40" s="134"/>
      <c r="M40" s="134"/>
      <c r="N40" s="134"/>
      <c r="O40" s="134"/>
      <c r="P40" s="134"/>
      <c r="Q40" s="134" t="str">
        <v>LED_Tube-T8-0.6M-1X-14W</v>
      </c>
      <c r="R40" s="134"/>
      <c r="S40" s="134"/>
      <c r="T40" s="134"/>
      <c r="U40" s="134"/>
      <c r="V40" s="134"/>
      <c r="W40" s="134"/>
      <c r="X40" s="134"/>
      <c r="Y40" s="134"/>
      <c r="Z40" s="134"/>
    </row>
    <row r="41" spans="1:26" ht="14.45" customHeight="1">
      <c r="A41" s="149">
        <v>4</v>
      </c>
      <c r="B41" s="149" t="s">
        <v>93</v>
      </c>
      <c r="E41" s="150"/>
      <c r="G41" s="138">
        <v>0.60416666666666696</v>
      </c>
      <c r="I41" s="134" t="str">
        <v>Conv-FTL-T8-1.2M-1X-20W</v>
      </c>
      <c r="J41" s="134" t="str">
        <v>Conv-CFL-Footlamp-1X-18W</v>
      </c>
      <c r="K41" s="134"/>
      <c r="L41" s="134"/>
      <c r="M41" s="134"/>
      <c r="N41" s="134"/>
      <c r="O41" s="134"/>
      <c r="P41" s="134"/>
      <c r="Q41" s="134" t="str">
        <v>LED_Tube-T8-1.2M-1X-14W</v>
      </c>
      <c r="R41" s="134"/>
      <c r="S41" s="134"/>
      <c r="T41" s="134"/>
      <c r="U41" s="134"/>
      <c r="V41" s="134"/>
      <c r="W41" s="134"/>
      <c r="X41" s="134"/>
      <c r="Y41" s="134"/>
      <c r="Z41" s="134"/>
    </row>
    <row r="42" spans="1:26" ht="14.45" customHeight="1">
      <c r="A42" s="149">
        <v>5</v>
      </c>
      <c r="B42" s="149" t="s">
        <v>184</v>
      </c>
      <c r="E42" s="150"/>
      <c r="G42" s="138">
        <v>0.625</v>
      </c>
      <c r="I42" s="134" t="str">
        <v>Conv-FTL-T8-1.2M-1X-28W</v>
      </c>
      <c r="J42" s="134" t="str">
        <v>Conv-CFL-12" Downlight-1X-80W</v>
      </c>
      <c r="K42" s="134"/>
      <c r="L42" s="134"/>
      <c r="M42" s="134"/>
      <c r="N42" s="134"/>
      <c r="O42" s="134"/>
      <c r="P42" s="134"/>
      <c r="Q42" s="134" t="str">
        <v>LED_Tube-T8-1.2M-1X-24W</v>
      </c>
      <c r="R42" s="134"/>
      <c r="S42" s="134"/>
      <c r="T42" s="134"/>
      <c r="U42" s="134"/>
      <c r="V42" s="134"/>
      <c r="W42" s="134"/>
      <c r="X42" s="134"/>
      <c r="Y42" s="134"/>
      <c r="Z42" s="134"/>
    </row>
    <row r="43" spans="1:26" ht="14.45" customHeight="1">
      <c r="A43" s="149">
        <v>6</v>
      </c>
      <c r="B43" s="149" t="s">
        <v>142</v>
      </c>
      <c r="E43" s="150"/>
      <c r="G43" s="138">
        <v>0.64583333333333304</v>
      </c>
      <c r="I43" s="134" t="str">
        <v>Conv-FTL-T8-0.6M-1X-36W</v>
      </c>
      <c r="J43" s="134" t="str">
        <v>Conv-CFL-Downlight -2X-36W</v>
      </c>
      <c r="K43" s="134"/>
      <c r="L43" s="134"/>
      <c r="M43" s="134"/>
      <c r="N43" s="134"/>
      <c r="O43" s="134"/>
      <c r="P43" s="134"/>
      <c r="Q43" s="134" t="str">
        <v>LED_Tube-T8-1.2M-1X-30W</v>
      </c>
      <c r="R43" s="134"/>
      <c r="S43" s="134"/>
      <c r="T43" s="134"/>
      <c r="U43" s="134"/>
      <c r="V43" s="134"/>
      <c r="W43" s="134"/>
      <c r="X43" s="134"/>
      <c r="Y43" s="134"/>
      <c r="Z43" s="134"/>
    </row>
    <row r="44" spans="1:26" ht="14.45" customHeight="1">
      <c r="A44" s="149">
        <v>7</v>
      </c>
      <c r="B44" s="149" t="s">
        <v>173</v>
      </c>
      <c r="E44" s="150"/>
      <c r="G44" s="138">
        <v>0.66666666666666696</v>
      </c>
      <c r="I44" s="134" t="str">
        <v>Conv-FTL-T8-0.6M-1X-40W</v>
      </c>
      <c r="J44" s="134" t="str">
        <v>Conv-CFL-Pole Lamp-1X-100W</v>
      </c>
      <c r="K44" s="134"/>
      <c r="L44" s="134"/>
      <c r="M44" s="134"/>
      <c r="N44" s="134"/>
      <c r="O44" s="134"/>
      <c r="P44" s="134"/>
      <c r="Q44" s="134"/>
      <c r="R44" s="134"/>
      <c r="S44" s="134"/>
      <c r="T44" s="134"/>
      <c r="U44" s="134"/>
      <c r="V44" s="134"/>
      <c r="W44" s="134"/>
      <c r="X44" s="134"/>
      <c r="Y44" s="134"/>
      <c r="Z44" s="134"/>
    </row>
    <row r="45" spans="1:26" ht="14.45" customHeight="1">
      <c r="A45" s="149">
        <v>8</v>
      </c>
      <c r="B45" s="149" t="s">
        <v>82</v>
      </c>
      <c r="E45" s="150"/>
      <c r="G45" s="138">
        <v>0.6875</v>
      </c>
      <c r="I45" s="134" t="str">
        <v>Conv-FTL-T8-1.2M-1X-40W</v>
      </c>
      <c r="J45" s="134" t="str">
        <v>Conv-CFL-12" -3X-26W</v>
      </c>
      <c r="K45" s="134"/>
      <c r="L45" s="134"/>
      <c r="M45" s="134"/>
      <c r="N45" s="134"/>
      <c r="O45" s="134"/>
      <c r="P45" s="134"/>
      <c r="Q45" s="134"/>
      <c r="R45" s="134"/>
      <c r="S45" s="134"/>
      <c r="T45" s="134"/>
      <c r="U45" s="134"/>
      <c r="V45" s="134"/>
      <c r="W45" s="134"/>
      <c r="X45" s="134"/>
      <c r="Y45" s="134"/>
      <c r="Z45" s="134"/>
    </row>
    <row r="46" spans="1:26" ht="14.45" customHeight="1">
      <c r="A46" s="149">
        <v>9</v>
      </c>
      <c r="B46" s="149" t="s">
        <v>177</v>
      </c>
      <c r="E46" s="150"/>
      <c r="G46" s="138">
        <v>0.70833333333333304</v>
      </c>
      <c r="I46" s="134" t="str">
        <v>Conv-FTL-T8-1.2M-1X-24W</v>
      </c>
      <c r="J46" s="134" t="str">
        <v>Conv-CFL--3X-12W</v>
      </c>
      <c r="K46" s="134"/>
      <c r="L46" s="134"/>
      <c r="M46" s="134"/>
      <c r="N46" s="134"/>
      <c r="O46" s="134"/>
      <c r="P46" s="134"/>
      <c r="Q46" s="134"/>
      <c r="R46" s="134"/>
      <c r="S46" s="134"/>
      <c r="T46" s="134"/>
      <c r="U46" s="134"/>
      <c r="V46" s="134"/>
      <c r="W46" s="134"/>
      <c r="X46" s="134"/>
      <c r="Y46" s="134"/>
      <c r="Z46" s="134"/>
    </row>
    <row r="47" spans="1:26" ht="14.45" customHeight="1">
      <c r="E47" s="150"/>
      <c r="G47" s="138">
        <v>0.72916666666666696</v>
      </c>
      <c r="I47" s="134" t="str">
        <v>Conv-FTL-T8-1.2M-1X-14W</v>
      </c>
      <c r="J47" s="134" t="str">
        <v>Conv-CFL--2X-20W</v>
      </c>
      <c r="K47" s="134"/>
      <c r="L47" s="134"/>
      <c r="M47" s="134"/>
      <c r="N47" s="134"/>
      <c r="O47" s="134"/>
      <c r="P47" s="134"/>
      <c r="Q47" s="134"/>
      <c r="R47" s="134"/>
      <c r="S47" s="134"/>
      <c r="T47" s="134"/>
      <c r="U47" s="134"/>
      <c r="V47" s="134"/>
      <c r="W47" s="134"/>
      <c r="X47" s="134"/>
      <c r="Y47" s="134"/>
      <c r="Z47" s="134"/>
    </row>
    <row r="48" spans="1:26" ht="14.45" customHeight="1">
      <c r="E48" s="150"/>
      <c r="G48" s="138">
        <v>0.75</v>
      </c>
      <c r="I48" s="134" t="str">
        <v>Conv-FTL-T8-1.2M-1X-16W</v>
      </c>
      <c r="J48" s="134" t="str">
        <v>Conv-CFL--2X-28W</v>
      </c>
      <c r="K48" s="134"/>
      <c r="L48" s="134"/>
      <c r="M48" s="134"/>
      <c r="N48" s="134"/>
      <c r="O48" s="134"/>
      <c r="P48" s="134"/>
      <c r="Q48" s="134"/>
      <c r="R48" s="134"/>
      <c r="S48" s="134"/>
      <c r="T48" s="134"/>
      <c r="U48" s="134"/>
      <c r="V48" s="134"/>
      <c r="W48" s="134"/>
      <c r="X48" s="134"/>
      <c r="Y48" s="134"/>
      <c r="Z48" s="134"/>
    </row>
    <row r="49" spans="5:26" ht="14.45" customHeight="1">
      <c r="E49" s="150"/>
      <c r="G49" s="138">
        <v>0.77083333333333304</v>
      </c>
      <c r="I49" s="134"/>
      <c r="J49" s="134" t="str">
        <v>Conv-CFL-12" E27-3X-15W</v>
      </c>
      <c r="K49" s="134"/>
      <c r="L49" s="134"/>
      <c r="M49" s="134"/>
      <c r="N49" s="134"/>
      <c r="O49" s="134"/>
      <c r="P49" s="134"/>
      <c r="Q49" s="134"/>
      <c r="R49" s="134"/>
      <c r="S49" s="134"/>
      <c r="T49" s="134"/>
      <c r="U49" s="134"/>
      <c r="V49" s="134"/>
      <c r="W49" s="134"/>
      <c r="X49" s="134"/>
      <c r="Y49" s="134"/>
      <c r="Z49" s="134"/>
    </row>
    <row r="50" spans="5:26" ht="14.45" customHeight="1">
      <c r="E50" s="150"/>
      <c r="G50" s="138">
        <v>0.79166666666666696</v>
      </c>
      <c r="I50" s="134"/>
      <c r="J50" s="134" t="str">
        <v>Conv-CFL--2X-12W</v>
      </c>
      <c r="K50" s="134"/>
      <c r="L50" s="134"/>
      <c r="M50" s="134"/>
      <c r="N50" s="134"/>
      <c r="O50" s="134"/>
      <c r="P50" s="134"/>
      <c r="Q50" s="134"/>
      <c r="R50" s="134"/>
      <c r="S50" s="134"/>
      <c r="T50" s="134"/>
      <c r="U50" s="134"/>
      <c r="V50" s="134"/>
      <c r="W50" s="134"/>
      <c r="X50" s="134"/>
      <c r="Y50" s="134"/>
      <c r="Z50" s="134"/>
    </row>
    <row r="51" spans="5:26" ht="14.45" customHeight="1">
      <c r="E51" s="150"/>
      <c r="G51" s="138">
        <v>0.8125</v>
      </c>
      <c r="I51" s="134"/>
      <c r="J51" s="134" t="str">
        <v>Conv-CFL-Bulb E27-1X-14W</v>
      </c>
      <c r="K51" s="134"/>
      <c r="L51" s="134"/>
      <c r="M51" s="134"/>
      <c r="N51" s="134"/>
      <c r="O51" s="134"/>
      <c r="P51" s="134"/>
      <c r="Q51" s="134"/>
      <c r="R51" s="134"/>
      <c r="S51" s="134"/>
      <c r="T51" s="134"/>
      <c r="U51" s="134"/>
      <c r="V51" s="134"/>
      <c r="W51" s="134"/>
      <c r="X51" s="134"/>
      <c r="Y51" s="134"/>
      <c r="Z51" s="134"/>
    </row>
    <row r="52" spans="5:26" ht="14.45" customHeight="1">
      <c r="E52" s="150"/>
      <c r="G52" s="138">
        <v>0.83333333333333304</v>
      </c>
      <c r="I52" s="134"/>
      <c r="J52" s="134" t="str">
        <v>Conv-CFL-E27-Street-1X-40W</v>
      </c>
      <c r="K52" s="134"/>
      <c r="L52" s="134"/>
      <c r="M52" s="134"/>
      <c r="N52" s="134"/>
      <c r="O52" s="134"/>
      <c r="P52" s="134"/>
      <c r="Q52" s="134"/>
      <c r="R52" s="134"/>
      <c r="S52" s="134"/>
      <c r="T52" s="134"/>
      <c r="U52" s="134"/>
      <c r="V52" s="134"/>
      <c r="W52" s="134"/>
      <c r="X52" s="134"/>
      <c r="Y52" s="134"/>
      <c r="Z52" s="134"/>
    </row>
    <row r="53" spans="5:26" ht="14.45" customHeight="1">
      <c r="E53" s="150"/>
      <c r="G53" s="138">
        <v>0.85416666666666696</v>
      </c>
      <c r="I53" s="134"/>
      <c r="J53" s="134" t="str">
        <v>Conv-CFL-E27-1X-35W</v>
      </c>
      <c r="K53" s="134"/>
      <c r="L53" s="134"/>
      <c r="M53" s="134"/>
      <c r="N53" s="134"/>
      <c r="O53" s="134"/>
      <c r="P53" s="134"/>
      <c r="Q53" s="134"/>
      <c r="R53" s="134"/>
      <c r="S53" s="134"/>
      <c r="T53" s="134"/>
      <c r="U53" s="134"/>
      <c r="V53" s="134"/>
      <c r="W53" s="134"/>
      <c r="X53" s="134"/>
      <c r="Y53" s="134"/>
      <c r="Z53" s="134"/>
    </row>
    <row r="54" spans="5:26" ht="14.45" customHeight="1">
      <c r="E54" s="150"/>
      <c r="G54" s="138">
        <v>0.875</v>
      </c>
      <c r="I54" s="134"/>
      <c r="J54" s="134" t="str">
        <v>Conv-CFL-E27-1X-35W</v>
      </c>
      <c r="K54" s="134"/>
      <c r="L54" s="134"/>
      <c r="M54" s="134"/>
      <c r="N54" s="134"/>
      <c r="O54" s="134"/>
      <c r="P54" s="134"/>
      <c r="Q54" s="134"/>
      <c r="R54" s="134"/>
      <c r="S54" s="134"/>
      <c r="T54" s="134"/>
      <c r="U54" s="134"/>
      <c r="V54" s="134"/>
      <c r="W54" s="134"/>
      <c r="X54" s="134"/>
      <c r="Y54" s="134"/>
      <c r="Z54" s="134"/>
    </row>
    <row r="55" spans="5:26" ht="14.45" customHeight="1">
      <c r="E55" s="150"/>
      <c r="G55" s="138">
        <v>0.89583333333333304</v>
      </c>
      <c r="I55" s="134"/>
      <c r="J55" s="134"/>
      <c r="K55" s="134"/>
      <c r="L55" s="134"/>
      <c r="M55" s="134"/>
      <c r="N55" s="134"/>
      <c r="O55" s="134"/>
      <c r="P55" s="134"/>
      <c r="Q55" s="134"/>
      <c r="R55" s="134"/>
      <c r="S55" s="134"/>
      <c r="T55" s="134"/>
      <c r="U55" s="134"/>
      <c r="V55" s="134"/>
      <c r="W55" s="134"/>
      <c r="X55" s="134"/>
      <c r="Y55" s="134"/>
      <c r="Z55" s="134"/>
    </row>
    <row r="56" spans="5:26" ht="14.45" customHeight="1">
      <c r="G56" s="138">
        <v>0.91666666666666696</v>
      </c>
      <c r="I56" s="134"/>
      <c r="J56" s="134"/>
      <c r="K56" s="134"/>
      <c r="L56" s="134"/>
      <c r="M56" s="134"/>
      <c r="N56" s="134"/>
      <c r="O56" s="134"/>
      <c r="P56" s="134"/>
      <c r="Q56" s="134"/>
      <c r="R56" s="134"/>
      <c r="S56" s="134"/>
      <c r="T56" s="134"/>
      <c r="U56" s="134"/>
      <c r="V56" s="134"/>
      <c r="W56" s="134"/>
      <c r="X56" s="134"/>
      <c r="Y56" s="134"/>
      <c r="Z56" s="134"/>
    </row>
    <row r="57" spans="5:26" ht="14.45" customHeight="1">
      <c r="G57" s="138">
        <v>0.9375</v>
      </c>
      <c r="I57" s="134"/>
      <c r="J57" s="134"/>
      <c r="K57" s="134"/>
      <c r="L57" s="134"/>
      <c r="M57" s="134"/>
      <c r="N57" s="134"/>
      <c r="O57" s="134"/>
      <c r="P57" s="134"/>
      <c r="Q57" s="134"/>
      <c r="R57" s="134"/>
      <c r="S57" s="134"/>
      <c r="T57" s="134"/>
      <c r="U57" s="134"/>
      <c r="V57" s="134"/>
      <c r="W57" s="134"/>
      <c r="X57" s="134"/>
      <c r="Y57" s="134"/>
      <c r="Z57" s="134"/>
    </row>
    <row r="58" spans="5:26" ht="14.45" customHeight="1">
      <c r="G58" s="138">
        <v>0.95833333333333304</v>
      </c>
      <c r="I58" s="134"/>
      <c r="J58" s="134"/>
      <c r="K58" s="134"/>
      <c r="L58" s="134"/>
      <c r="M58" s="134"/>
      <c r="N58" s="134"/>
      <c r="O58" s="134"/>
      <c r="P58" s="134"/>
      <c r="Q58" s="134"/>
      <c r="R58" s="134"/>
      <c r="S58" s="134"/>
      <c r="T58" s="134"/>
      <c r="U58" s="134"/>
      <c r="V58" s="134"/>
      <c r="W58" s="134"/>
      <c r="X58" s="134"/>
      <c r="Y58" s="134"/>
      <c r="Z58" s="134"/>
    </row>
    <row r="59" spans="5:26" ht="14.45" customHeight="1">
      <c r="G59" s="138">
        <v>0.97916666666666663</v>
      </c>
      <c r="I59" s="134"/>
      <c r="J59" s="134"/>
      <c r="K59" s="134"/>
      <c r="L59" s="134"/>
      <c r="M59" s="134"/>
      <c r="N59" s="134"/>
      <c r="O59" s="134"/>
      <c r="P59" s="134"/>
      <c r="Q59" s="134"/>
      <c r="R59" s="134"/>
      <c r="S59" s="134"/>
      <c r="T59" s="134"/>
      <c r="U59" s="134"/>
      <c r="V59" s="134"/>
      <c r="W59" s="134"/>
      <c r="X59" s="134"/>
      <c r="Y59" s="134"/>
      <c r="Z59" s="134"/>
    </row>
    <row r="60" spans="5:26" ht="14.45" customHeight="1">
      <c r="G60" s="138">
        <v>0.99998842592592585</v>
      </c>
      <c r="I60" s="134"/>
      <c r="J60" s="134"/>
      <c r="K60" s="134"/>
      <c r="L60" s="134"/>
      <c r="M60" s="134"/>
      <c r="N60" s="134"/>
      <c r="O60" s="134"/>
      <c r="P60" s="134"/>
      <c r="Q60" s="134"/>
      <c r="R60" s="134"/>
      <c r="S60" s="134"/>
      <c r="T60" s="134"/>
      <c r="U60" s="134"/>
      <c r="V60" s="134"/>
      <c r="W60" s="134"/>
      <c r="X60" s="134"/>
      <c r="Y60" s="134"/>
      <c r="Z60" s="134"/>
    </row>
    <row r="61" spans="5:26" ht="14.45" customHeight="1">
      <c r="I61" s="134"/>
      <c r="J61" s="134"/>
      <c r="K61" s="134"/>
      <c r="L61" s="134"/>
      <c r="M61" s="134"/>
      <c r="N61" s="134"/>
      <c r="O61" s="134"/>
      <c r="P61" s="134"/>
      <c r="Q61" s="134"/>
      <c r="R61" s="134"/>
      <c r="S61" s="134"/>
      <c r="T61" s="134"/>
      <c r="U61" s="134"/>
      <c r="V61" s="134"/>
      <c r="W61" s="134"/>
      <c r="X61" s="134"/>
      <c r="Y61" s="134"/>
      <c r="Z61" s="134"/>
    </row>
  </sheetData>
  <sheetProtection algorithmName="SHA-512" hashValue="iI2q5sfDJVhPoqshgqCyMbYl0teF0rgo5LGzKPIJxqj/iQlBrGCzHz1alKjk3jxHCu/es+tu7CWP7AnHvcKTXw==" saltValue="FhQXw8lu84rc0mBg3dIG8A==" spinCount="100000" sheet="1" objects="1" scenarios="1"/>
  <mergeCells count="1">
    <mergeCell ref="A36:B36"/>
  </mergeCells>
  <pageMargins left="0.7" right="0.7" top="0.75" bottom="0.75" header="0.3" footer="0.3"/>
</worksheet>
</file>

<file path=xl/worksheets/sheet14.xml><?xml version="1.0" encoding="utf-8"?>
<worksheet xmlns="http://schemas.openxmlformats.org/spreadsheetml/2006/main" xmlns:ns1="http://schemas.openxmlformats.org/markup-compatibility/2006" xmlns:ns2="http://schemas.microsoft.com/office/spreadsheetml/2014/revision" ns1:Ignorable="x14ac xr xr2 xr3" ns2:uid="{7C6BE338-3355-4FB8-9622-EE7F7A1F9CCD}">
  <sheetPr codeName="Sheet13">
    <tabColor rgb="FF9E0000"/>
  </sheetPr>
  <dimension ref="A1:JK5012"/>
  <sheetViews>
    <sheetView topLeftCell="A10" workbookViewId="0">
      <selection activeCell="C32" sqref="C32"/>
    </sheetView>
  </sheetViews>
  <sheetFormatPr defaultColWidth="9.140625" defaultRowHeight="12.75" zeroHeight="1"/>
  <cols>
    <col min="1" max="1" width="23.85546875" style="102" customWidth="1"/>
    <col min="2" max="2" width="32.42578125" style="45" customWidth="1"/>
    <col min="3" max="16384" width="9.140625" style="45"/>
  </cols>
  <sheetData>
    <row r="1" spans="1:271" s="102" customFormat="1" hidden="1"/>
    <row r="2" spans="1:271" s="102" customFormat="1" hidden="1"/>
    <row r="3" spans="1:271" s="102" customFormat="1" hidden="1"/>
    <row r="4" spans="1:271" s="102" customFormat="1" hidden="1"/>
    <row r="5" spans="1:271" s="102" customFormat="1" hidden="1"/>
    <row r="6" spans="1:271" s="102" customFormat="1" hidden="1"/>
    <row r="7" spans="1:271" s="102" customFormat="1" hidden="1"/>
    <row r="8" spans="1:271" s="102" customFormat="1" hidden="1"/>
    <row r="9" spans="1:271" s="102" customFormat="1" hidden="1"/>
    <row r="10" spans="1:271" s="102" customFormat="1"/>
    <row r="11" spans="1:271" ht="18.75">
      <c r="A11" s="119"/>
      <c r="B11" s="120"/>
      <c r="C11" s="12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c r="DJ11" s="50"/>
      <c r="DK11" s="50"/>
      <c r="DL11" s="50"/>
      <c r="DM11" s="50"/>
      <c r="DN11" s="50"/>
      <c r="DO11" s="50"/>
      <c r="DP11" s="50"/>
      <c r="DQ11" s="50"/>
      <c r="DR11" s="50"/>
      <c r="DS11" s="50"/>
      <c r="DT11" s="50"/>
      <c r="DU11" s="50"/>
      <c r="DV11" s="50"/>
      <c r="DW11" s="50"/>
      <c r="DX11" s="50"/>
      <c r="DY11" s="50"/>
      <c r="DZ11" s="50"/>
      <c r="EA11" s="50"/>
      <c r="EB11" s="50"/>
      <c r="EC11" s="50"/>
      <c r="ED11" s="50"/>
      <c r="EE11" s="50"/>
      <c r="EF11" s="50"/>
      <c r="EG11" s="50"/>
      <c r="EH11" s="50"/>
      <c r="EI11" s="50"/>
      <c r="EJ11" s="50"/>
      <c r="EK11" s="50"/>
      <c r="EL11" s="50"/>
      <c r="EM11" s="50"/>
      <c r="EN11" s="50"/>
      <c r="EO11" s="50"/>
      <c r="EP11" s="50"/>
      <c r="EQ11" s="50"/>
      <c r="ER11" s="50"/>
      <c r="ES11" s="50"/>
      <c r="ET11" s="50"/>
      <c r="EU11" s="50"/>
      <c r="EV11" s="50"/>
      <c r="EW11" s="50"/>
      <c r="EX11" s="50"/>
      <c r="EY11" s="50"/>
      <c r="EZ11" s="50"/>
      <c r="FA11" s="50"/>
      <c r="FB11" s="50"/>
      <c r="FC11" s="50"/>
      <c r="FD11" s="50"/>
      <c r="FE11" s="50"/>
      <c r="FF11" s="50"/>
      <c r="FG11" s="50"/>
      <c r="FH11" s="50"/>
      <c r="FI11" s="50"/>
      <c r="FJ11" s="50"/>
      <c r="FK11" s="50"/>
      <c r="FL11" s="50"/>
      <c r="FM11" s="50"/>
      <c r="FN11" s="50"/>
      <c r="FO11" s="50"/>
      <c r="FP11" s="50"/>
      <c r="FQ11" s="50"/>
      <c r="FR11" s="50"/>
      <c r="FS11" s="50"/>
      <c r="FT11" s="50"/>
      <c r="FU11" s="50"/>
      <c r="FV11" s="50"/>
      <c r="FW11" s="50"/>
      <c r="FX11" s="50"/>
      <c r="FY11" s="50"/>
      <c r="FZ11" s="50"/>
      <c r="GA11" s="50"/>
      <c r="GB11" s="50"/>
      <c r="GC11" s="50"/>
      <c r="GD11" s="50"/>
      <c r="GE11" s="50"/>
      <c r="GF11" s="50"/>
      <c r="GG11" s="50"/>
      <c r="GH11" s="50"/>
      <c r="GI11" s="50"/>
      <c r="GJ11" s="50"/>
      <c r="GK11" s="50"/>
      <c r="GL11" s="50"/>
      <c r="GM11" s="50"/>
      <c r="GN11" s="50"/>
      <c r="GO11" s="50"/>
      <c r="GP11" s="50"/>
      <c r="GQ11" s="50"/>
      <c r="GR11" s="50"/>
      <c r="GS11" s="50"/>
      <c r="GT11" s="50"/>
      <c r="GU11" s="50"/>
      <c r="GV11" s="50"/>
      <c r="GW11" s="50"/>
      <c r="GX11" s="50"/>
      <c r="GY11" s="50"/>
      <c r="GZ11" s="50"/>
      <c r="HA11" s="50"/>
      <c r="HB11" s="50"/>
      <c r="HC11" s="50"/>
      <c r="HD11" s="50"/>
      <c r="HE11" s="50"/>
      <c r="HF11" s="50"/>
      <c r="HG11" s="50"/>
      <c r="HH11" s="50"/>
      <c r="HI11" s="50"/>
      <c r="HJ11" s="50"/>
      <c r="HK11" s="50"/>
      <c r="HL11" s="50"/>
      <c r="HM11" s="50"/>
      <c r="HN11" s="50"/>
      <c r="HO11" s="50"/>
      <c r="HP11" s="50"/>
      <c r="HQ11" s="50"/>
      <c r="HR11" s="50"/>
      <c r="HS11" s="50"/>
      <c r="HT11" s="50"/>
      <c r="HU11" s="50"/>
      <c r="HV11" s="50"/>
      <c r="HW11" s="50"/>
      <c r="HX11" s="50"/>
      <c r="HY11" s="50"/>
      <c r="HZ11" s="50"/>
      <c r="IA11" s="50"/>
      <c r="IB11" s="50"/>
      <c r="IC11" s="50"/>
      <c r="ID11" s="50"/>
      <c r="IE11" s="50"/>
      <c r="IF11" s="50"/>
      <c r="IG11" s="50"/>
      <c r="IH11" s="50"/>
      <c r="II11" s="50"/>
      <c r="IJ11" s="50"/>
      <c r="IK11" s="50"/>
      <c r="IL11" s="50"/>
      <c r="IM11" s="50"/>
      <c r="IN11" s="50"/>
      <c r="IO11" s="50"/>
      <c r="IP11" s="50"/>
      <c r="IQ11" s="50"/>
      <c r="IR11" s="50"/>
      <c r="IS11" s="50"/>
      <c r="IT11" s="50"/>
      <c r="IU11" s="50"/>
      <c r="IV11" s="50"/>
      <c r="IW11" s="50"/>
      <c r="IX11" s="50"/>
      <c r="IY11" s="50"/>
      <c r="IZ11" s="50"/>
      <c r="JA11" s="50"/>
      <c r="JB11" s="50"/>
      <c r="JC11" s="50"/>
      <c r="JD11" s="50"/>
      <c r="JE11" s="50"/>
      <c r="JF11" s="50"/>
      <c r="JG11" s="50"/>
      <c r="JH11" s="50"/>
      <c r="JI11" s="50"/>
      <c r="JJ11" s="50"/>
      <c r="JK11" s="50"/>
    </row>
  </sheetData>
  <sheetProtection algorithmName="SHA-512" hashValue="Z1gCq5pno5JHy2txURnNvKKA43M0XVSh3EY2SwgH8TSnud0g+ZuS5yKYAVLg6fZqRrzZL9eW/oP4q3eRL+BGiQ==" saltValue="DrhNjvMgWMB2Fd7CYz6mj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 ma:contentTypeID="0x0101004C2644B6EEB0EC45B9D06A85B318B990" ma:contentTypeVersion="32" ma:contentTypeDescription="" ma:contentTypeScope="" ma:versionID="debe0bbac3e6f755cb7691ab30632ab8">
  <xsd:schema xmlns:xsd="http://www.w3.org/2001/XMLSchema" xmlns:xs="http://www.w3.org/2001/XMLSchema" xmlns:p="http://schemas.microsoft.com/office/2006/metadata/properties" xmlns:ns1="http://schemas.microsoft.com/sharepoint/v3" xmlns:ns2="05b9893e-6c09-441c-8f85-e6b1c2dab9f1" xmlns:ns3="550b0ff8-398f-45cd-b47a-ce658b481e7c" xmlns:ns4="386b6f4d-40bb-4acf-a701-c6b001b249bd" targetNamespace="http://schemas.microsoft.com/office/2006/metadata/properties" ma:root="true" ma:fieldsID="3561134e61f950846138e7db2355ed3f" ns1:_="" ns2:_="" ns3:_="" ns4:_="">
    <xsd:import namespace="http://schemas.microsoft.com/sharepoint/v3"/>
    <xsd:import namespace="05b9893e-6c09-441c-8f85-e6b1c2dab9f1"/>
    <xsd:import namespace="550b0ff8-398f-45cd-b47a-ce658b481e7c"/>
    <xsd:import namespace="386b6f4d-40bb-4acf-a701-c6b001b249b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4:_dlc_DocId" minOccurs="0"/>
                <xsd:element ref="ns4:_dlc_DocIdUrl" minOccurs="0"/>
                <xsd:element ref="ns4:_dlc_DocIdPersistId"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 ma:hidden="true" ma:internalName="_ip_UnifiedCompliancePolicyProperties">
      <xsd:simpleType>
        <xsd:restriction base="dms:Note"/>
      </xsd:simpleType>
    </xsd:element>
    <xsd:element name="_ip_UnifiedCompliancePolicyUIAction" ma:index="21" nillable="true" ma:displayName=""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b9893e-6c09-441c-8f85-e6b1c2dab9f1" elementFormDefault="qualified">
    <xsd:import namespace="http://schemas.microsoft.com/office/2006/documentManagement/types"/>
    <xsd:import namespace="http://schemas.microsoft.com/office/infopath/2007/PartnerControls"/>
    <xsd:element name="SharedWithUsers" ma:index="8" nillable="true" ma:displayNam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 ma:internalName="SharedWithDetails" ma:readOnly="true">
      <xsd:simpleType>
        <xsd:restriction base="dms:Note">
          <xsd:maxLength value="255"/>
        </xsd:restriction>
      </xsd:simpleType>
    </xsd:element>
    <xsd:element name="TaxCatchAll" ma:index="28" nillable="true" ma:displayName="" ma:hidden="true" ma:list="{6dce5461-040e-42f3-baf1-a5a4625fccd0}" ma:internalName="TaxCatchAll" ma:showField="CatchAllData" ma:web="05b9893e-6c09-441c-8f85-e6b1c2dab9f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50b0ff8-398f-45cd-b47a-ce658b481e7c" elementFormDefault="qualified">
    <xsd:import namespace="http://schemas.microsoft.com/office/2006/documentManagement/types"/>
    <xsd:import namespace="http://schemas.microsoft.com/office/infopath/2007/PartnerControls"/>
    <xsd:element name="MediaServiceMetadata" ma:index="10" nillable="true" ma:displayName="" ma:hidden="true" ma:internalName="MediaServiceMetadata" ma:readOnly="true">
      <xsd:simpleType>
        <xsd:restriction base="dms:Note"/>
      </xsd:simpleType>
    </xsd:element>
    <xsd:element name="MediaServiceFastMetadata" ma:index="11" nillable="true" ma:displayName="" ma:hidden="true" ma:internalName="MediaServiceFastMetadata" ma:readOnly="true">
      <xsd:simpleType>
        <xsd:restriction base="dms:Note"/>
      </xsd:simpleType>
    </xsd:element>
    <xsd:element name="MediaServiceAutoTags" ma:index="12" nillable="true" ma:displayName="" ma:internalName="MediaServiceAutoTags" ma:readOnly="true">
      <xsd:simpleType>
        <xsd:restriction base="dms:Text"/>
      </xsd:simpleType>
    </xsd:element>
    <xsd:element name="MediaServiceDateTaken" ma:index="13" nillable="true" ma:displayName="" ma:hidden="true" ma:internalName="MediaServiceDateTaken" ma:readOnly="true">
      <xsd:simpleType>
        <xsd:restriction base="dms:Text"/>
      </xsd:simpleType>
    </xsd:element>
    <xsd:element name="MediaServiceOCR" ma:index="14" nillable="true" ma:displayName="" ma:internalName="MediaServiceOCR" ma:readOnly="true">
      <xsd:simpleType>
        <xsd:restriction base="dms:Note">
          <xsd:maxLength value="255"/>
        </xsd:restriction>
      </xsd:simpleType>
    </xsd:element>
    <xsd:element name="MediaServiceLocation" ma:index="15" nillable="true" ma:displayName="" ma:internalName="MediaServiceLocation" ma:readOnly="true">
      <xsd:simpleType>
        <xsd:restriction base="dms:Text"/>
      </xsd:simpleType>
    </xsd:element>
    <xsd:element name="MediaServiceGenerationTime" ma:index="16" nillable="true" ma:displayName="" ma:hidden="true" ma:internalName="MediaServiceGenerationTime" ma:readOnly="true">
      <xsd:simpleType>
        <xsd:restriction base="dms:Text"/>
      </xsd:simpleType>
    </xsd:element>
    <xsd:element name="MediaServiceEventHashCode" ma:index="17" nillable="true" ma:displayName="" ma:hidden="true" ma:internalName="MediaServiceEventHashCode" ma:readOnly="true">
      <xsd:simpleType>
        <xsd:restriction base="dms:Text"/>
      </xsd:simpleType>
    </xsd:element>
    <xsd:element name="MediaServiceAutoKeyPoints" ma:index="18" nillable="true" ma:displayName="" ma:hidden="true" ma:internalName="MediaServiceAutoKeyPoints" ma:readOnly="true">
      <xsd:simpleType>
        <xsd:restriction base="dms:Note"/>
      </xsd:simpleType>
    </xsd:element>
    <xsd:element name="MediaServiceKeyPoints" ma:index="19" nillable="true" ma:displayName="" ma:internalName="MediaServiceKeyPoints" ma:readOnly="true">
      <xsd:simpleType>
        <xsd:restriction base="dms:Note">
          <xsd:maxLength value="255"/>
        </xsd:restriction>
      </xsd:simpleType>
    </xsd:element>
    <xsd:element name="MediaLengthInSeconds" ma:index="25" nillable="true" ma:displayNam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 ma:readOnly="false" ma:fieldId="{5cf76f15-5ced-4ddc-b409-7134ff3c332f}" ma:taxonomyMulti="true" ma:sspId="dc7d616a-fa9e-4b5b-a3f1-c63bfb6d54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 ma:description="" ma:hidden="true" ma:indexed="true" ma:internalName="MediaServiceObjectDetectorVersions" ma:readOnly="true">
      <xsd:simpleType>
        <xsd:restriction base="dms:Text"/>
      </xsd:simpleType>
    </xsd:element>
    <xsd:element name="MediaServiceSearchProperties" ma:index="30" nillable="true" ma:displayName="" ma:hidden="true" ma:internalName="MediaServiceSearchProperties" ma:readOnly="true">
      <xsd:simpleType>
        <xsd:restriction base="dms:Note"/>
      </xsd:simpleType>
    </xsd:element>
    <xsd:element name="MediaServiceBillingMetadata" ma:index="31" nillable="true" ma:displayName=""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6b6f4d-40bb-4acf-a701-c6b001b249bd" elementFormDefault="qualified">
    <xsd:import namespace="http://schemas.microsoft.com/office/2006/documentManagement/types"/>
    <xsd:import namespace="http://schemas.microsoft.com/office/infopath/2007/PartnerControls"/>
    <xsd:element name="_dlc_DocId" ma:index="22" nillable="true" ma:displayName="" ma:description="The value of the document ID assigned to this item." ma:indexed="true" ma:internalName="_dlc_DocId" ma:readOnly="true">
      <xsd:simpleType>
        <xsd:restriction base="dms:Text"/>
      </xsd:simpleType>
    </xsd:element>
    <xsd:element name="_dlc_DocIdUrl" ma:index="23" nillable="true" ma:displayName=""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
        <xsd:element ref="dc:title" minOccurs="0" maxOccurs="1" ma:index="4" ma:display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5b9893e-6c09-441c-8f85-e6b1c2dab9f1" xsi:nil="true"/>
    <_ip_UnifiedCompliancePolicyProperties xmlns="http://schemas.microsoft.com/sharepoint/v3" xsi:nil="true"/>
    <lcf76f155ced4ddcb4097134ff3c332f xmlns="550b0ff8-398f-45cd-b47a-ce658b481e7c">
      <Terms xmlns="http://schemas.microsoft.com/office/infopath/2007/PartnerControls"/>
    </lcf76f155ced4ddcb4097134ff3c332f>
    <_dlc_DocId xmlns="386b6f4d-40bb-4acf-a701-c6b001b249bd"/>
    <_dlc_DocIdUrl xmlns="386b6f4d-40bb-4acf-a701-c6b001b249bd">
      <Url/>
      <Description/>
    </_dlc_DocIdUrl>
  </documentManagement>
</p:properties>
</file>

<file path=customXml/itemProps1.xml><?xml version="1.0" encoding="utf-8"?>
<ds:datastoreItem xmlns:ds="http://schemas.openxmlformats.org/officeDocument/2006/customXml" ds:itemID="{437023BC-0DA6-40B1-9D37-7D4E95C361A6}">
  <ds:schemaRefs>
    <ds:schemaRef ds:uri="http://schemas.microsoft.com/sharepoint/v3/contenttype/forms"/>
  </ds:schemaRefs>
</ds:datastoreItem>
</file>

<file path=customXml/itemProps2.xml><?xml version="1.0" encoding="utf-8"?>
<ds:datastoreItem xmlns:ds="http://schemas.openxmlformats.org/officeDocument/2006/customXml" ds:itemID="{E77A7620-A218-4A2F-899A-65247441C6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b9893e-6c09-441c-8f85-e6b1c2dab9f1"/>
    <ds:schemaRef ds:uri="550b0ff8-398f-45cd-b47a-ce658b481e7c"/>
    <ds:schemaRef ds:uri="386b6f4d-40bb-4acf-a701-c6b001b249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6F8D94-6B23-4B0F-894B-7FB57A5D7EC8}">
  <ds:schemaRefs>
    <ds:schemaRef ds:uri="http://schemas.microsoft.com/sharepoint/events"/>
  </ds:schemaRefs>
</ds:datastoreItem>
</file>

<file path=customXml/itemProps4.xml><?xml version="1.0" encoding="utf-8"?>
<ds:datastoreItem xmlns:ds="http://schemas.openxmlformats.org/officeDocument/2006/customXml" ds:itemID="{D53B22EB-EE91-4C49-9068-E69E03E66D8B}">
  <ds:schemaRefs>
    <ds:schemaRef ds:uri="http://schemas.microsoft.com/office/2006/metadata/properties"/>
    <ds:schemaRef ds:uri="386b6f4d-40bb-4acf-a701-c6b001b249bd"/>
    <ds:schemaRef ds:uri="http://schemas.microsoft.com/sharepoint/v3"/>
    <ds:schemaRef ds:uri="http://schemas.microsoft.com/office/infopath/2007/PartnerControls"/>
    <ds:schemaRef ds:uri="http://www.w3.org/XML/1998/namespace"/>
    <ds:schemaRef ds:uri="http://schemas.microsoft.com/office/2006/documentManagement/types"/>
    <ds:schemaRef ds:uri="http://purl.org/dc/dcmitype/"/>
    <ds:schemaRef ds:uri="http://purl.org/dc/terms/"/>
    <ds:schemaRef ds:uri="http://purl.org/dc/elements/1.1/"/>
    <ds:schemaRef ds:uri="http://schemas.openxmlformats.org/package/2006/metadata/core-properties"/>
    <ds:schemaRef ds:uri="550b0ff8-398f-45cd-b47a-ce658b481e7c"/>
    <ds:schemaRef ds:uri="05b9893e-6c09-441c-8f85-e6b1c2dab9f1"/>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Project_Info</vt:lpstr>
      <vt:lpstr>Instr.</vt:lpstr>
      <vt:lpstr>Light_Selection</vt:lpstr>
      <vt:lpstr>OH</vt:lpstr>
      <vt:lpstr>Light_Savings</vt:lpstr>
      <vt:lpstr>Pivot</vt:lpstr>
      <vt:lpstr>Pivot_2</vt:lpstr>
      <vt:lpstr>Pivot_Cntrl</vt:lpstr>
      <vt:lpstr>Pivot_Baseline</vt:lpstr>
      <vt:lpstr>Old_Model_Registry</vt:lpstr>
      <vt:lpstr>Vstack</vt:lpstr>
      <vt:lpstr>Project_Light List</vt:lpstr>
      <vt:lpstr>Mnu</vt:lpstr>
      <vt:lpstr>DataCheck</vt:lpstr>
      <vt:lpstr>Candle</vt:lpstr>
      <vt:lpstr>CFL</vt:lpstr>
      <vt:lpstr>FTL</vt:lpstr>
      <vt:lpstr>Halogen</vt:lpstr>
      <vt:lpstr>HPS</vt:lpstr>
      <vt:lpstr>Incandescent</vt:lpstr>
      <vt:lpstr>LED_Bulb</vt:lpstr>
      <vt:lpstr>LED_Candle_Light</vt:lpstr>
      <vt:lpstr>LED_Downlight</vt:lpstr>
      <vt:lpstr>LED_Flood_Light</vt:lpstr>
      <vt:lpstr>LED_High_Bay</vt:lpstr>
      <vt:lpstr>LED_Panel_light</vt:lpstr>
      <vt:lpstr>LED_Spot_Light</vt:lpstr>
      <vt:lpstr>LED_Stick</vt:lpstr>
      <vt:lpstr>LED_Street_Light</vt:lpstr>
      <vt:lpstr>LED_Tube</vt:lpstr>
      <vt:lpstr>MH</vt:lpstr>
      <vt:lpstr>MV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IES Platform</dc:creator>
  <cp:keywords/>
  <dc:description/>
  <cp:lastModifiedBy>IES Platform</cp:lastModifiedBy>
  <cp:revision/>
  <dcterms:created xsi:type="dcterms:W3CDTF">2024-01-11T07:09:48Z</dcterms:created>
  <dcterms:modified xsi:type="dcterms:W3CDTF">2025-12-10T10:24:29Z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
  </property>
  <property fmtid="{D5CDD505-2E9C-101B-9397-08002B2CF9AE}" pid="3" name="MediaServiceImageTags">
    <vt:lpwstr/>
  </property>
  <property fmtid="{D5CDD505-2E9C-101B-9397-08002B2CF9AE}" pid="4" name="_dlc_DocIdItemGuid">
    <vt:lpwstr/>
  </property>
</Properties>
</file>